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58d8402c3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4064a8acc7740dc"/>
    <x:sheet xmlns:r="http://schemas.openxmlformats.org/officeDocument/2006/relationships" name="F001" sheetId="2" r:id="R7e3de14bd61f44bf"/>
    <x:sheet xmlns:r="http://schemas.openxmlformats.org/officeDocument/2006/relationships" name="F002" sheetId="3" r:id="Re2f3c8e4a07d4f75"/>
    <x:sheet xmlns:r="http://schemas.openxmlformats.org/officeDocument/2006/relationships" name="F003" sheetId="4" r:id="Rab4ee5e6744442cf"/>
    <x:sheet xmlns:r="http://schemas.openxmlformats.org/officeDocument/2006/relationships" name="F004" sheetId="5" r:id="Rec0a2a56aec24f4e"/>
    <x:sheet xmlns:r="http://schemas.openxmlformats.org/officeDocument/2006/relationships" name="F005" sheetId="6" r:id="R9ff7cf52a8294128"/>
    <x:sheet xmlns:r="http://schemas.openxmlformats.org/officeDocument/2006/relationships" name="F006" sheetId="7" r:id="R940283d5e97b49d8"/>
    <x:sheet xmlns:r="http://schemas.openxmlformats.org/officeDocument/2006/relationships" name="F007" sheetId="8" r:id="R29d8c6750ae44b8c"/>
    <x:sheet xmlns:r="http://schemas.openxmlformats.org/officeDocument/2006/relationships" name="F008" sheetId="9" r:id="R2c2362b9265240ce"/>
    <x:sheet xmlns:r="http://schemas.openxmlformats.org/officeDocument/2006/relationships" name="F009" sheetId="10" r:id="Ra0efb20d89c94c68"/>
    <x:sheet xmlns:r="http://schemas.openxmlformats.org/officeDocument/2006/relationships" name="F010" sheetId="11" r:id="R4f4e30428df24c77"/>
    <x:sheet xmlns:r="http://schemas.openxmlformats.org/officeDocument/2006/relationships" name="F011" sheetId="12" r:id="Rb475828c1e574ffd"/>
    <x:sheet xmlns:r="http://schemas.openxmlformats.org/officeDocument/2006/relationships" name="F012" sheetId="13" r:id="R18709b0cd6cc4e26"/>
    <x:sheet xmlns:r="http://schemas.openxmlformats.org/officeDocument/2006/relationships" name="F013" sheetId="14" r:id="R233e559629e0496c"/>
    <x:sheet xmlns:r="http://schemas.openxmlformats.org/officeDocument/2006/relationships" name="F014" sheetId="15" r:id="R5f736ef694e84efe"/>
    <x:sheet xmlns:r="http://schemas.openxmlformats.org/officeDocument/2006/relationships" name="F015" sheetId="16" r:id="R6764d79df68642d9"/>
    <x:sheet xmlns:r="http://schemas.openxmlformats.org/officeDocument/2006/relationships" name="F016" sheetId="17" r:id="R8dc440e4da3d4791"/>
    <x:sheet xmlns:r="http://schemas.openxmlformats.org/officeDocument/2006/relationships" name="F017" sheetId="18" r:id="R64ad11f462a14049"/>
    <x:sheet xmlns:r="http://schemas.openxmlformats.org/officeDocument/2006/relationships" name="F018" sheetId="19" r:id="R7b80b87b5be64470"/>
    <x:sheet xmlns:r="http://schemas.openxmlformats.org/officeDocument/2006/relationships" name="F019" sheetId="20" r:id="Rf40e7dd8bdf04c3f"/>
    <x:sheet xmlns:r="http://schemas.openxmlformats.org/officeDocument/2006/relationships" name="F020" sheetId="21" r:id="R229f625aceb04b41"/>
    <x:sheet xmlns:r="http://schemas.openxmlformats.org/officeDocument/2006/relationships" name="F021" sheetId="22" r:id="R6432aa7d54c54a02"/>
    <x:sheet xmlns:r="http://schemas.openxmlformats.org/officeDocument/2006/relationships" name="F022" sheetId="23" r:id="R7f83bed639fd4529"/>
    <x:sheet xmlns:r="http://schemas.openxmlformats.org/officeDocument/2006/relationships" name="F023" sheetId="24" r:id="R23e1320f0d174bc6"/>
    <x:sheet xmlns:r="http://schemas.openxmlformats.org/officeDocument/2006/relationships" name="F024" sheetId="25" r:id="R362a9a103908427e"/>
    <x:sheet xmlns:r="http://schemas.openxmlformats.org/officeDocument/2006/relationships" name="F025" sheetId="26" r:id="Rf05e7215251c4521"/>
    <x:sheet xmlns:r="http://schemas.openxmlformats.org/officeDocument/2006/relationships" name="F026" sheetId="27" r:id="R88cebe9ff3c44b94"/>
    <x:sheet xmlns:r="http://schemas.openxmlformats.org/officeDocument/2006/relationships" name="F027" sheetId="28" r:id="R8d4ec29c6eb44857"/>
    <x:sheet xmlns:r="http://schemas.openxmlformats.org/officeDocument/2006/relationships" name="F028" sheetId="29" r:id="Rd95e710ba636489a"/>
    <x:sheet xmlns:r="http://schemas.openxmlformats.org/officeDocument/2006/relationships" name="F029" sheetId="30" r:id="R2a3110adf7d8473f"/>
    <x:sheet xmlns:r="http://schemas.openxmlformats.org/officeDocument/2006/relationships" name="F030" sheetId="31" r:id="R7f8041324128406e"/>
    <x:sheet xmlns:r="http://schemas.openxmlformats.org/officeDocument/2006/relationships" name="F031" sheetId="32" r:id="R3340536ee52843fb"/>
    <x:sheet xmlns:r="http://schemas.openxmlformats.org/officeDocument/2006/relationships" name="F032" sheetId="33" r:id="Rab5b77f47aad46f9"/>
    <x:sheet xmlns:r="http://schemas.openxmlformats.org/officeDocument/2006/relationships" name="F033" sheetId="34" r:id="Ra62e8c47a819416b"/>
    <x:sheet xmlns:r="http://schemas.openxmlformats.org/officeDocument/2006/relationships" name="F034" sheetId="35" r:id="Rca77d723cfcb4615"/>
    <x:sheet xmlns:r="http://schemas.openxmlformats.org/officeDocument/2006/relationships" name="F035" sheetId="36" r:id="Re97a086795ae4800"/>
    <x:sheet xmlns:r="http://schemas.openxmlformats.org/officeDocument/2006/relationships" name="F036" sheetId="37" r:id="R39acee8fe5614595"/>
    <x:sheet xmlns:r="http://schemas.openxmlformats.org/officeDocument/2006/relationships" name="F037" sheetId="38" r:id="Ra1dbb27a67a74ec3"/>
    <x:sheet xmlns:r="http://schemas.openxmlformats.org/officeDocument/2006/relationships" name="F038" sheetId="39" r:id="Rcbe6ff4caa72436d"/>
    <x:sheet xmlns:r="http://schemas.openxmlformats.org/officeDocument/2006/relationships" name="F039" sheetId="40" r:id="R8a0687c0183a44ba"/>
    <x:sheet xmlns:r="http://schemas.openxmlformats.org/officeDocument/2006/relationships" name="F040" sheetId="41" r:id="Ra37002e125854712"/>
    <x:sheet xmlns:r="http://schemas.openxmlformats.org/officeDocument/2006/relationships" name="F041" sheetId="42" r:id="Rcf810d188f0f489e"/>
    <x:sheet xmlns:r="http://schemas.openxmlformats.org/officeDocument/2006/relationships" name="F042" sheetId="43" r:id="Rff884bdfcc384eb7"/>
    <x:sheet xmlns:r="http://schemas.openxmlformats.org/officeDocument/2006/relationships" name="F043" sheetId="44" r:id="Rb6335f98a00e4797"/>
    <x:sheet xmlns:r="http://schemas.openxmlformats.org/officeDocument/2006/relationships" name="F044" sheetId="45" r:id="R2a65f28a8f064c85"/>
    <x:sheet xmlns:r="http://schemas.openxmlformats.org/officeDocument/2006/relationships" name="F045" sheetId="46" r:id="Rae8b85f4115b4349"/>
    <x:sheet xmlns:r="http://schemas.openxmlformats.org/officeDocument/2006/relationships" name="F046" sheetId="47" r:id="Rcb80648c672947ce"/>
    <x:sheet xmlns:r="http://schemas.openxmlformats.org/officeDocument/2006/relationships" name="F047" sheetId="48" r:id="R336c159a7a1443f1"/>
    <x:sheet xmlns:r="http://schemas.openxmlformats.org/officeDocument/2006/relationships" name="F048" sheetId="49" r:id="R4465e585a1a94821"/>
    <x:sheet xmlns:r="http://schemas.openxmlformats.org/officeDocument/2006/relationships" name="F049" sheetId="50" r:id="R4d9f594308e44f8f"/>
    <x:sheet xmlns:r="http://schemas.openxmlformats.org/officeDocument/2006/relationships" name="F050" sheetId="51" r:id="Rb3c431ddbf054857"/>
    <x:sheet xmlns:r="http://schemas.openxmlformats.org/officeDocument/2006/relationships" name="F051" sheetId="52" r:id="R3c56a52ef84e417e"/>
    <x:sheet xmlns:r="http://schemas.openxmlformats.org/officeDocument/2006/relationships" name="F052" sheetId="53" r:id="R8dfef552e13c431b"/>
    <x:sheet xmlns:r="http://schemas.openxmlformats.org/officeDocument/2006/relationships" name="F053" sheetId="54" r:id="R426199d9cebb412b"/>
    <x:sheet xmlns:r="http://schemas.openxmlformats.org/officeDocument/2006/relationships" name="F054" sheetId="55" r:id="R159ae7c385984064"/>
    <x:sheet xmlns:r="http://schemas.openxmlformats.org/officeDocument/2006/relationships" name="F055" sheetId="56" r:id="Rbf6a2b297fa94d42"/>
    <x:sheet xmlns:r="http://schemas.openxmlformats.org/officeDocument/2006/relationships" name="F056" sheetId="57" r:id="R5314ba10c2734f96"/>
    <x:sheet xmlns:r="http://schemas.openxmlformats.org/officeDocument/2006/relationships" name="F057" sheetId="58" r:id="R5dfff26ebbd0437c"/>
    <x:sheet xmlns:r="http://schemas.openxmlformats.org/officeDocument/2006/relationships" name="F058" sheetId="59" r:id="R9f4538bfbb97455d"/>
    <x:sheet xmlns:r="http://schemas.openxmlformats.org/officeDocument/2006/relationships" name="F059" sheetId="60" r:id="Rec3013d0abb54960"/>
    <x:sheet xmlns:r="http://schemas.openxmlformats.org/officeDocument/2006/relationships" name="F060" sheetId="61" r:id="Rccb239776b9e4862"/>
    <x:sheet xmlns:r="http://schemas.openxmlformats.org/officeDocument/2006/relationships" name="F061" sheetId="62" r:id="R5ab1ed0837324ceb"/>
    <x:sheet xmlns:r="http://schemas.openxmlformats.org/officeDocument/2006/relationships" name="F062" sheetId="63" r:id="R5493350ee86c4357"/>
    <x:sheet xmlns:r="http://schemas.openxmlformats.org/officeDocument/2006/relationships" name="F063" sheetId="64" r:id="R80e68f3d54674607"/>
    <x:sheet xmlns:r="http://schemas.openxmlformats.org/officeDocument/2006/relationships" name="F064" sheetId="65" r:id="R6d110b967b80427a"/>
    <x:sheet xmlns:r="http://schemas.openxmlformats.org/officeDocument/2006/relationships" name="F065" sheetId="66" r:id="Rae36f62a5f4c4a39"/>
    <x:sheet xmlns:r="http://schemas.openxmlformats.org/officeDocument/2006/relationships" name="F066" sheetId="67" r:id="R06b2ef95994844ec"/>
    <x:sheet xmlns:r="http://schemas.openxmlformats.org/officeDocument/2006/relationships" name="F067" sheetId="68" r:id="Rb1c4463e7f0c4e57"/>
    <x:sheet xmlns:r="http://schemas.openxmlformats.org/officeDocument/2006/relationships" name="F068" sheetId="69" r:id="Ra0a8feee937449b8"/>
    <x:sheet xmlns:r="http://schemas.openxmlformats.org/officeDocument/2006/relationships" name="F069" sheetId="70" r:id="Ra473b222750c408c"/>
    <x:sheet xmlns:r="http://schemas.openxmlformats.org/officeDocument/2006/relationships" name="F070" sheetId="71" r:id="Rfad7e66fdf874012"/>
    <x:sheet xmlns:r="http://schemas.openxmlformats.org/officeDocument/2006/relationships" name="F071" sheetId="72" r:id="Rf015370026044831"/>
    <x:sheet xmlns:r="http://schemas.openxmlformats.org/officeDocument/2006/relationships" name="F072" sheetId="73" r:id="Re77a0d96bec14312"/>
    <x:sheet xmlns:r="http://schemas.openxmlformats.org/officeDocument/2006/relationships" name="F073" sheetId="74" r:id="Rbb977bafa2424e6a"/>
    <x:sheet xmlns:r="http://schemas.openxmlformats.org/officeDocument/2006/relationships" name="F074" sheetId="75" r:id="R1d0b3789d44f46d4"/>
    <x:sheet xmlns:r="http://schemas.openxmlformats.org/officeDocument/2006/relationships" name="F075" sheetId="76" r:id="Rbd4af813d7eb4eef"/>
    <x:sheet xmlns:r="http://schemas.openxmlformats.org/officeDocument/2006/relationships" name="F076" sheetId="77" r:id="R5d9ea755f5ea4b0d"/>
    <x:sheet xmlns:r="http://schemas.openxmlformats.org/officeDocument/2006/relationships" name="F077" sheetId="78" r:id="Rb12f8824edbe47ce"/>
    <x:sheet xmlns:r="http://schemas.openxmlformats.org/officeDocument/2006/relationships" name="F078" sheetId="79" r:id="R68e198ab97664b4b"/>
    <x:sheet xmlns:r="http://schemas.openxmlformats.org/officeDocument/2006/relationships" name="F079" sheetId="80" r:id="R28d9cd4fb97141aa"/>
    <x:sheet xmlns:r="http://schemas.openxmlformats.org/officeDocument/2006/relationships" name="F080" sheetId="81" r:id="Rc6e7fa5463fa4543"/>
    <x:sheet xmlns:r="http://schemas.openxmlformats.org/officeDocument/2006/relationships" name="F081" sheetId="82" r:id="R16c2d07efb4a447a"/>
    <x:sheet xmlns:r="http://schemas.openxmlformats.org/officeDocument/2006/relationships" name="F082" sheetId="83" r:id="Re3cbf81e3e764eb5"/>
    <x:sheet xmlns:r="http://schemas.openxmlformats.org/officeDocument/2006/relationships" name="F083" sheetId="84" r:id="Re0086f7d94be4043"/>
    <x:sheet xmlns:r="http://schemas.openxmlformats.org/officeDocument/2006/relationships" name="F084" sheetId="85" r:id="Rf2fd441e7b0a4562"/>
    <x:sheet xmlns:r="http://schemas.openxmlformats.org/officeDocument/2006/relationships" name="F085" sheetId="86" r:id="Rcd0c52f3c4784498"/>
    <x:sheet xmlns:r="http://schemas.openxmlformats.org/officeDocument/2006/relationships" name="F086" sheetId="87" r:id="R26c018e715df4228"/>
    <x:sheet xmlns:r="http://schemas.openxmlformats.org/officeDocument/2006/relationships" name="F087" sheetId="88" r:id="Ra72caef5b4884d66"/>
    <x:sheet xmlns:r="http://schemas.openxmlformats.org/officeDocument/2006/relationships" name="F088" sheetId="89" r:id="R7dc2a0f65f8f4b41"/>
    <x:sheet xmlns:r="http://schemas.openxmlformats.org/officeDocument/2006/relationships" name="F089" sheetId="90" r:id="R0992982d4d7540ad"/>
    <x:sheet xmlns:r="http://schemas.openxmlformats.org/officeDocument/2006/relationships" name="F090" sheetId="91" r:id="R147650b2409d491b"/>
    <x:sheet xmlns:r="http://schemas.openxmlformats.org/officeDocument/2006/relationships" name="F091" sheetId="92" r:id="R685ced85884b403c"/>
    <x:sheet xmlns:r="http://schemas.openxmlformats.org/officeDocument/2006/relationships" name="F092" sheetId="93" r:id="R2d6b5b9a45974089"/>
    <x:sheet xmlns:r="http://schemas.openxmlformats.org/officeDocument/2006/relationships" name="F093" sheetId="94" r:id="R6e47c04da7784390"/>
    <x:sheet xmlns:r="http://schemas.openxmlformats.org/officeDocument/2006/relationships" name="Functions" sheetId="95" r:id="Rea0defa7ac264ec8"/>
    <x:sheet xmlns:r="http://schemas.openxmlformats.org/officeDocument/2006/relationships" name="Statistics" sheetId="96" r:id="R6f9d9a0f79e6483a"/>
    <x:sheet xmlns:r="http://schemas.openxmlformats.org/officeDocument/2006/relationships" name="Guideline" sheetId="97" r:id="R4624b3091d0d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8963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79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6c183117f486a" /><Relationship Type="http://schemas.openxmlformats.org/officeDocument/2006/relationships/theme" Target="/xl/theme/theme1.xml" Id="R9b0c9575f8044b55" /><Relationship Type="http://schemas.openxmlformats.org/officeDocument/2006/relationships/sharedStrings" Target="/xl/sharedStrings.xml" Id="R89d28eba1e0246aa" /><Relationship Type="http://schemas.openxmlformats.org/officeDocument/2006/relationships/worksheet" Target="/xl/worksheets/sheet1.xml" Id="R54064a8acc7740dc" /><Relationship Type="http://schemas.openxmlformats.org/officeDocument/2006/relationships/worksheet" Target="/xl/worksheets/sheet2.xml" Id="R7e3de14bd61f44bf" /><Relationship Type="http://schemas.openxmlformats.org/officeDocument/2006/relationships/worksheet" Target="/xl/worksheets/sheet3.xml" Id="Re2f3c8e4a07d4f75" /><Relationship Type="http://schemas.openxmlformats.org/officeDocument/2006/relationships/worksheet" Target="/xl/worksheets/sheet4.xml" Id="Rab4ee5e6744442cf" /><Relationship Type="http://schemas.openxmlformats.org/officeDocument/2006/relationships/worksheet" Target="/xl/worksheets/sheet5.xml" Id="Rec0a2a56aec24f4e" /><Relationship Type="http://schemas.openxmlformats.org/officeDocument/2006/relationships/worksheet" Target="/xl/worksheets/sheet6.xml" Id="R9ff7cf52a8294128" /><Relationship Type="http://schemas.openxmlformats.org/officeDocument/2006/relationships/worksheet" Target="/xl/worksheets/sheet7.xml" Id="R940283d5e97b49d8" /><Relationship Type="http://schemas.openxmlformats.org/officeDocument/2006/relationships/worksheet" Target="/xl/worksheets/sheet8.xml" Id="R29d8c6750ae44b8c" /><Relationship Type="http://schemas.openxmlformats.org/officeDocument/2006/relationships/worksheet" Target="/xl/worksheets/sheet9.xml" Id="R2c2362b9265240ce" /><Relationship Type="http://schemas.openxmlformats.org/officeDocument/2006/relationships/worksheet" Target="/xl/worksheets/sheet10.xml" Id="Ra0efb20d89c94c68" /><Relationship Type="http://schemas.openxmlformats.org/officeDocument/2006/relationships/worksheet" Target="/xl/worksheets/sheet11.xml" Id="R4f4e30428df24c77" /><Relationship Type="http://schemas.openxmlformats.org/officeDocument/2006/relationships/worksheet" Target="/xl/worksheets/sheet12.xml" Id="Rb475828c1e574ffd" /><Relationship Type="http://schemas.openxmlformats.org/officeDocument/2006/relationships/worksheet" Target="/xl/worksheets/sheet13.xml" Id="R18709b0cd6cc4e26" /><Relationship Type="http://schemas.openxmlformats.org/officeDocument/2006/relationships/worksheet" Target="/xl/worksheets/sheet14.xml" Id="R233e559629e0496c" /><Relationship Type="http://schemas.openxmlformats.org/officeDocument/2006/relationships/worksheet" Target="/xl/worksheets/sheet15.xml" Id="R5f736ef694e84efe" /><Relationship Type="http://schemas.openxmlformats.org/officeDocument/2006/relationships/worksheet" Target="/xl/worksheets/sheet16.xml" Id="R6764d79df68642d9" /><Relationship Type="http://schemas.openxmlformats.org/officeDocument/2006/relationships/worksheet" Target="/xl/worksheets/sheet17.xml" Id="R8dc440e4da3d4791" /><Relationship Type="http://schemas.openxmlformats.org/officeDocument/2006/relationships/worksheet" Target="/xl/worksheets/sheet18.xml" Id="R64ad11f462a14049" /><Relationship Type="http://schemas.openxmlformats.org/officeDocument/2006/relationships/worksheet" Target="/xl/worksheets/sheet19.xml" Id="R7b80b87b5be64470" /><Relationship Type="http://schemas.openxmlformats.org/officeDocument/2006/relationships/worksheet" Target="/xl/worksheets/sheet20.xml" Id="Rf40e7dd8bdf04c3f" /><Relationship Type="http://schemas.openxmlformats.org/officeDocument/2006/relationships/worksheet" Target="/xl/worksheets/sheet21.xml" Id="R229f625aceb04b41" /><Relationship Type="http://schemas.openxmlformats.org/officeDocument/2006/relationships/worksheet" Target="/xl/worksheets/sheet22.xml" Id="R6432aa7d54c54a02" /><Relationship Type="http://schemas.openxmlformats.org/officeDocument/2006/relationships/worksheet" Target="/xl/worksheets/sheet23.xml" Id="R7f83bed639fd4529" /><Relationship Type="http://schemas.openxmlformats.org/officeDocument/2006/relationships/worksheet" Target="/xl/worksheets/sheet24.xml" Id="R23e1320f0d174bc6" /><Relationship Type="http://schemas.openxmlformats.org/officeDocument/2006/relationships/worksheet" Target="/xl/worksheets/sheet25.xml" Id="R362a9a103908427e" /><Relationship Type="http://schemas.openxmlformats.org/officeDocument/2006/relationships/worksheet" Target="/xl/worksheets/sheet26.xml" Id="Rf05e7215251c4521" /><Relationship Type="http://schemas.openxmlformats.org/officeDocument/2006/relationships/worksheet" Target="/xl/worksheets/sheet27.xml" Id="R88cebe9ff3c44b94" /><Relationship Type="http://schemas.openxmlformats.org/officeDocument/2006/relationships/worksheet" Target="/xl/worksheets/sheet28.xml" Id="R8d4ec29c6eb44857" /><Relationship Type="http://schemas.openxmlformats.org/officeDocument/2006/relationships/worksheet" Target="/xl/worksheets/sheet29.xml" Id="Rd95e710ba636489a" /><Relationship Type="http://schemas.openxmlformats.org/officeDocument/2006/relationships/worksheet" Target="/xl/worksheets/sheet30.xml" Id="R2a3110adf7d8473f" /><Relationship Type="http://schemas.openxmlformats.org/officeDocument/2006/relationships/worksheet" Target="/xl/worksheets/sheet31.xml" Id="R7f8041324128406e" /><Relationship Type="http://schemas.openxmlformats.org/officeDocument/2006/relationships/worksheet" Target="/xl/worksheets/sheet32.xml" Id="R3340536ee52843fb" /><Relationship Type="http://schemas.openxmlformats.org/officeDocument/2006/relationships/worksheet" Target="/xl/worksheets/sheet33.xml" Id="Rab5b77f47aad46f9" /><Relationship Type="http://schemas.openxmlformats.org/officeDocument/2006/relationships/worksheet" Target="/xl/worksheets/sheet34.xml" Id="Ra62e8c47a819416b" /><Relationship Type="http://schemas.openxmlformats.org/officeDocument/2006/relationships/worksheet" Target="/xl/worksheets/sheet35.xml" Id="Rca77d723cfcb4615" /><Relationship Type="http://schemas.openxmlformats.org/officeDocument/2006/relationships/worksheet" Target="/xl/worksheets/sheet36.xml" Id="Re97a086795ae4800" /><Relationship Type="http://schemas.openxmlformats.org/officeDocument/2006/relationships/worksheet" Target="/xl/worksheets/sheet37.xml" Id="R39acee8fe5614595" /><Relationship Type="http://schemas.openxmlformats.org/officeDocument/2006/relationships/worksheet" Target="/xl/worksheets/sheet38.xml" Id="Ra1dbb27a67a74ec3" /><Relationship Type="http://schemas.openxmlformats.org/officeDocument/2006/relationships/worksheet" Target="/xl/worksheets/sheet39.xml" Id="Rcbe6ff4caa72436d" /><Relationship Type="http://schemas.openxmlformats.org/officeDocument/2006/relationships/worksheet" Target="/xl/worksheets/sheet40.xml" Id="R8a0687c0183a44ba" /><Relationship Type="http://schemas.openxmlformats.org/officeDocument/2006/relationships/worksheet" Target="/xl/worksheets/sheet41.xml" Id="Ra37002e125854712" /><Relationship Type="http://schemas.openxmlformats.org/officeDocument/2006/relationships/worksheet" Target="/xl/worksheets/sheet42.xml" Id="Rcf810d188f0f489e" /><Relationship Type="http://schemas.openxmlformats.org/officeDocument/2006/relationships/worksheet" Target="/xl/worksheets/sheet43.xml" Id="Rff884bdfcc384eb7" /><Relationship Type="http://schemas.openxmlformats.org/officeDocument/2006/relationships/worksheet" Target="/xl/worksheets/sheet44.xml" Id="Rb6335f98a00e4797" /><Relationship Type="http://schemas.openxmlformats.org/officeDocument/2006/relationships/worksheet" Target="/xl/worksheets/sheet45.xml" Id="R2a65f28a8f064c85" /><Relationship Type="http://schemas.openxmlformats.org/officeDocument/2006/relationships/worksheet" Target="/xl/worksheets/sheet46.xml" Id="Rae8b85f4115b4349" /><Relationship Type="http://schemas.openxmlformats.org/officeDocument/2006/relationships/worksheet" Target="/xl/worksheets/sheet47.xml" Id="Rcb80648c672947ce" /><Relationship Type="http://schemas.openxmlformats.org/officeDocument/2006/relationships/worksheet" Target="/xl/worksheets/sheet48.xml" Id="R336c159a7a1443f1" /><Relationship Type="http://schemas.openxmlformats.org/officeDocument/2006/relationships/worksheet" Target="/xl/worksheets/sheet49.xml" Id="R4465e585a1a94821" /><Relationship Type="http://schemas.openxmlformats.org/officeDocument/2006/relationships/worksheet" Target="/xl/worksheets/sheet50.xml" Id="R4d9f594308e44f8f" /><Relationship Type="http://schemas.openxmlformats.org/officeDocument/2006/relationships/worksheet" Target="/xl/worksheets/sheet51.xml" Id="Rb3c431ddbf054857" /><Relationship Type="http://schemas.openxmlformats.org/officeDocument/2006/relationships/worksheet" Target="/xl/worksheets/sheet52.xml" Id="R3c56a52ef84e417e" /><Relationship Type="http://schemas.openxmlformats.org/officeDocument/2006/relationships/worksheet" Target="/xl/worksheets/sheet53.xml" Id="R8dfef552e13c431b" /><Relationship Type="http://schemas.openxmlformats.org/officeDocument/2006/relationships/worksheet" Target="/xl/worksheets/sheet54.xml" Id="R426199d9cebb412b" /><Relationship Type="http://schemas.openxmlformats.org/officeDocument/2006/relationships/worksheet" Target="/xl/worksheets/sheet55.xml" Id="R159ae7c385984064" /><Relationship Type="http://schemas.openxmlformats.org/officeDocument/2006/relationships/worksheet" Target="/xl/worksheets/sheet56.xml" Id="Rbf6a2b297fa94d42" /><Relationship Type="http://schemas.openxmlformats.org/officeDocument/2006/relationships/worksheet" Target="/xl/worksheets/sheet57.xml" Id="R5314ba10c2734f96" /><Relationship Type="http://schemas.openxmlformats.org/officeDocument/2006/relationships/worksheet" Target="/xl/worksheets/sheet58.xml" Id="R5dfff26ebbd0437c" /><Relationship Type="http://schemas.openxmlformats.org/officeDocument/2006/relationships/worksheet" Target="/xl/worksheets/sheet59.xml" Id="R9f4538bfbb97455d" /><Relationship Type="http://schemas.openxmlformats.org/officeDocument/2006/relationships/worksheet" Target="/xl/worksheets/sheet60.xml" Id="Rec3013d0abb54960" /><Relationship Type="http://schemas.openxmlformats.org/officeDocument/2006/relationships/worksheet" Target="/xl/worksheets/sheet61.xml" Id="Rccb239776b9e4862" /><Relationship Type="http://schemas.openxmlformats.org/officeDocument/2006/relationships/worksheet" Target="/xl/worksheets/sheet62.xml" Id="R5ab1ed0837324ceb" /><Relationship Type="http://schemas.openxmlformats.org/officeDocument/2006/relationships/worksheet" Target="/xl/worksheets/sheet63.xml" Id="R5493350ee86c4357" /><Relationship Type="http://schemas.openxmlformats.org/officeDocument/2006/relationships/worksheet" Target="/xl/worksheets/sheet64.xml" Id="R80e68f3d54674607" /><Relationship Type="http://schemas.openxmlformats.org/officeDocument/2006/relationships/worksheet" Target="/xl/worksheets/sheet65.xml" Id="R6d110b967b80427a" /><Relationship Type="http://schemas.openxmlformats.org/officeDocument/2006/relationships/worksheet" Target="/xl/worksheets/sheet66.xml" Id="Rae36f62a5f4c4a39" /><Relationship Type="http://schemas.openxmlformats.org/officeDocument/2006/relationships/worksheet" Target="/xl/worksheets/sheet67.xml" Id="R06b2ef95994844ec" /><Relationship Type="http://schemas.openxmlformats.org/officeDocument/2006/relationships/worksheet" Target="/xl/worksheets/sheet68.xml" Id="Rb1c4463e7f0c4e57" /><Relationship Type="http://schemas.openxmlformats.org/officeDocument/2006/relationships/worksheet" Target="/xl/worksheets/sheet69.xml" Id="Ra0a8feee937449b8" /><Relationship Type="http://schemas.openxmlformats.org/officeDocument/2006/relationships/worksheet" Target="/xl/worksheets/sheet70.xml" Id="Ra473b222750c408c" /><Relationship Type="http://schemas.openxmlformats.org/officeDocument/2006/relationships/worksheet" Target="/xl/worksheets/sheet71.xml" Id="Rfad7e66fdf874012" /><Relationship Type="http://schemas.openxmlformats.org/officeDocument/2006/relationships/worksheet" Target="/xl/worksheets/sheet72.xml" Id="Rf015370026044831" /><Relationship Type="http://schemas.openxmlformats.org/officeDocument/2006/relationships/worksheet" Target="/xl/worksheets/sheet73.xml" Id="Re77a0d96bec14312" /><Relationship Type="http://schemas.openxmlformats.org/officeDocument/2006/relationships/worksheet" Target="/xl/worksheets/sheet74.xml" Id="Rbb977bafa2424e6a" /><Relationship Type="http://schemas.openxmlformats.org/officeDocument/2006/relationships/worksheet" Target="/xl/worksheets/sheet75.xml" Id="R1d0b3789d44f46d4" /><Relationship Type="http://schemas.openxmlformats.org/officeDocument/2006/relationships/worksheet" Target="/xl/worksheets/sheet76.xml" Id="Rbd4af813d7eb4eef" /><Relationship Type="http://schemas.openxmlformats.org/officeDocument/2006/relationships/worksheet" Target="/xl/worksheets/sheet77.xml" Id="R5d9ea755f5ea4b0d" /><Relationship Type="http://schemas.openxmlformats.org/officeDocument/2006/relationships/worksheet" Target="/xl/worksheets/sheet78.xml" Id="Rb12f8824edbe47ce" /><Relationship Type="http://schemas.openxmlformats.org/officeDocument/2006/relationships/worksheet" Target="/xl/worksheets/sheet79.xml" Id="R68e198ab97664b4b" /><Relationship Type="http://schemas.openxmlformats.org/officeDocument/2006/relationships/worksheet" Target="/xl/worksheets/sheet80.xml" Id="R28d9cd4fb97141aa" /><Relationship Type="http://schemas.openxmlformats.org/officeDocument/2006/relationships/worksheet" Target="/xl/worksheets/sheet81.xml" Id="Rc6e7fa5463fa4543" /><Relationship Type="http://schemas.openxmlformats.org/officeDocument/2006/relationships/worksheet" Target="/xl/worksheets/sheet82.xml" Id="R16c2d07efb4a447a" /><Relationship Type="http://schemas.openxmlformats.org/officeDocument/2006/relationships/worksheet" Target="/xl/worksheets/sheet83.xml" Id="Re3cbf81e3e764eb5" /><Relationship Type="http://schemas.openxmlformats.org/officeDocument/2006/relationships/worksheet" Target="/xl/worksheets/sheet84.xml" Id="Re0086f7d94be4043" /><Relationship Type="http://schemas.openxmlformats.org/officeDocument/2006/relationships/worksheet" Target="/xl/worksheets/sheet85.xml" Id="Rf2fd441e7b0a4562" /><Relationship Type="http://schemas.openxmlformats.org/officeDocument/2006/relationships/worksheet" Target="/xl/worksheets/sheet86.xml" Id="Rcd0c52f3c4784498" /><Relationship Type="http://schemas.openxmlformats.org/officeDocument/2006/relationships/worksheet" Target="/xl/worksheets/sheet87.xml" Id="R26c018e715df4228" /><Relationship Type="http://schemas.openxmlformats.org/officeDocument/2006/relationships/worksheet" Target="/xl/worksheets/sheet88.xml" Id="Ra72caef5b4884d66" /><Relationship Type="http://schemas.openxmlformats.org/officeDocument/2006/relationships/worksheet" Target="/xl/worksheets/sheet89.xml" Id="R7dc2a0f65f8f4b41" /><Relationship Type="http://schemas.openxmlformats.org/officeDocument/2006/relationships/worksheet" Target="/xl/worksheets/sheet90.xml" Id="R0992982d4d7540ad" /><Relationship Type="http://schemas.openxmlformats.org/officeDocument/2006/relationships/worksheet" Target="/xl/worksheets/sheet91.xml" Id="R147650b2409d491b" /><Relationship Type="http://schemas.openxmlformats.org/officeDocument/2006/relationships/worksheet" Target="/xl/worksheets/sheet92.xml" Id="R685ced85884b403c" /><Relationship Type="http://schemas.openxmlformats.org/officeDocument/2006/relationships/worksheet" Target="/xl/worksheets/sheet93.xml" Id="R2d6b5b9a45974089" /><Relationship Type="http://schemas.openxmlformats.org/officeDocument/2006/relationships/worksheet" Target="/xl/worksheets/sheet94.xml" Id="R6e47c04da7784390" /><Relationship Type="http://schemas.openxmlformats.org/officeDocument/2006/relationships/worksheet" Target="/xl/worksheets/sheet95.xml" Id="Rea0defa7ac264ec8" /><Relationship Type="http://schemas.openxmlformats.org/officeDocument/2006/relationships/worksheet" Target="/xl/worksheets/sheet96.xml" Id="R6f9d9a0f79e6483a" /><Relationship Type="http://schemas.openxmlformats.org/officeDocument/2006/relationships/worksheet" Target="/xl/worksheets/sheet97.xml" Id="R4624b3091d0d4d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2">
      <x:c r="A2" s="1" t="str">
        <x:v>Cover</x:v>
      </x:c>
    </x:row>
    <x:row r="4" ht="32" customHeight="1">
      <x:c r="A4" s="5" t="str">
        <x:v>Item</x:v>
      </x:c>
      <x:c r="B4" s="5" t="str">
        <x:v>Value</x:v>
      </x:c>
    </x:row>
    <x:row r="5" ht="60" customHeight="1">
      <x:c r="A5" s="9" t="str">
        <x:v>Project name</x:v>
      </x:c>
      <x:c r="B5" s="9" t="str">
        <x:v>Đợi HuyLong điền — official name</x:v>
      </x:c>
    </x:row>
    <x:row r="6" ht="60" customHeight="1">
      <x:c r="A6" s="9" t="str">
        <x:v>Project code</x:v>
      </x:c>
      <x:c r="B6" s="9" t="str">
        <x:v>Đợi HuyLong điền — official code</x:v>
      </x:c>
    </x:row>
    <x:row r="7" ht="60" customHeight="1">
      <x:c r="A7" s="9" t="str">
        <x:v>Creator / issue date / version</x:v>
      </x:c>
      <x:c r="B7" s="9" t="str">
        <x:v>Đợi HuyLong điền — author, issue date and version</x:v>
      </x:c>
    </x:row>
    <x:row r="8" ht="60" customHeight="1">
      <x:c r="A8" s="9" t="str">
        <x:v>Test execution</x:v>
      </x:c>
      <x:c r="B8" s="9" t="str">
        <x:v>2026-10-27; preserved unit.trx; 203 Passed / 0 Failed</x:v>
      </x:c>
    </x:row>
    <x:row r="9" ht="60" customHeight="1">
      <x:c r="A9" s="9" t="str">
        <x:v>Baseline</x:v>
      </x:c>
      <x:c r="B9" s="9" t="str">
        <x:v>e5beb8ecff1fb41234857bc4975e8303e80f2694</x:v>
      </x:c>
    </x:row>
    <x:row r="10" ht="60" customHeight="1">
      <x:c r="A10" s="9" t="str">
        <x:v>Document</x:v>
      </x:c>
      <x:c r="B10" s="9" t="str">
        <x:v>Unit test function matrices; original XLS converted to XLSX. Sample results removed.</x:v>
      </x:c>
    </x:row>
    <x:row r="11" ht="60" customHeight="1">
      <x:c r="A11" s="9" t="str">
        <x:v>Evidence scope</x:v>
      </x:c>
      <x:c r="B11" s="9" t="str">
        <x:v>Existing unit fixtures and mocks; not browser or live-provider verification.</x:v>
      </x:c>
    </x:row>
    <x:row r="12" ht="60" customHeight="1">
      <x:c r="A12" s="9" t="str">
        <x:v>Team / milestones / evidence location</x:v>
      </x:c>
      <x:c r="B12" s="9" t="str">
        <x:v>Đợi HuyLong điền — actual roles, Review 2/Defense 1.1/submission dates, official evidence archive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F001 — AiInsightsServiceTests.GetLibrarianWorkspaceAsync</x:v>
      </x:c>
      <x:c r="G2" s="10"/>
      <x:c r="H2" s="10"/>
    </x:row>
    <x:row r="3">
      <x:c r="A3" t="str">
        <x:v>Source class</x:v>
      </x:c>
      <x:c r="F3" t="str">
        <x:v>AiInsightsServiceTests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UT-001</x:v>
      </x:c>
      <x:c r="G9" s="5" t="str">
        <x:v>UT-002</x:v>
      </x:c>
      <x:c r="H9" s="5" t="str">
        <x:v>UT-003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Get Librarian Workspace Async — When Librarian — Maps Real Counts</x:v>
      </x:c>
      <x:c r="G10" s="9" t="str">
        <x:v>Get Librarian Workspace Async — When Reader — Returns Forbidden</x:v>
      </x:c>
      <x:c r="H10" s="9" t="str">
        <x:v>Get Librarian Workspace Async — When Trends Off — Hides Stats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AiInsightsServiceTests. No live service.</x:v>
      </x:c>
      <x:c r="G11" s="9" t="str">
        <x:v>Arrange fixture and test doubles defined in AiInsightsServiceTests. No live service.</x:v>
      </x:c>
      <x:c r="H11" s="9" t="str">
        <x:v>Arrange fixture and test doubles defined in AiInsightsServiceTests.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result.Data!.Criteria.Should().Contain(item =&gt; item.Id == "major" &amp;&amp; item.HasData &amp;&amp; item.Count == 4);
result.Data.Criteria.Should().Contain(item =&gt; item.Id == "goal" &amp;&amp; !item.HasData);
result.Data.Trends.Borrowed.Should().Be(12);
result.Data.TopBorrowed.Should().ContainSingle(item =&gt; item.Title == "Lập trình Web");</x:v>
      </x:c>
      <x:c r="G13" s="9" t="str">
        <x:v>result.IsSuccess.Should().BeFalse();
result.Error.Should().Contain("Thủ thư");</x:v>
      </x:c>
      <x:c r="H13" s="9" t="str">
        <x:v>result.IsSuccess.Should().BeTrue();
result.Data!.Trends.Borrowed.Should().Be(0);
result.Data.TopBorrowed.Should().BeEmpty();
result.Data.OverdueRisks.Should().BeEmpty();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apps/api/tests/SmartLibrary.UnitTests/Features/Ai/AiInsightsServiceTests.cs:49</x:v>
      </x:c>
      <x:c r="G14" s="9" t="str">
        <x:v>apps/api/tests/SmartLibrary.UnitTests/Features/Ai/AiInsightsServiceTests.cs:39</x:v>
      </x:c>
      <x:c r="H14" s="9" t="str">
        <x:v>apps/api/tests/SmartLibrary.UnitTests/Features/Ai/AiInsightsServiceTests.cs:76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FullyQualifiedName~AiInsightsServiceTests.GetLibrarianWorkspaceAsync_WhenLibrarian_MapsRealCounts</x:v>
      </x:c>
      <x:c r="G15" s="9" t="str">
        <x:v>dotnet test UnitTests project --filter FullyQualifiedName~AiInsightsServiceTests.GetLibrarianWorkspaceAsync_WhenReader_ReturnsForbidden</x:v>
      </x:c>
      <x:c r="H15" s="9" t="str">
        <x:v>dotnet test UnitTests project --filter FullyQualifiedName~AiInsightsServiceTests.GetLibrarianWorkspaceAsync_WhenTrendsOff_HidesStats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  <x:c r="H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00:00:00.0303508</x:v>
      </x:c>
      <x:c r="G20" s="9" t="str">
        <x:v>00:00:00.1062471</x:v>
      </x:c>
      <x:c r="H20" s="9" t="str">
        <x:v>00:00:00.0057934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SmartLibrary.UnitTests.Features.Ai.AiInsightsServiceTests.GetLibrarianWorkspaceAsync_WhenLibrarian_MapsRealCounts</x:v>
      </x:c>
      <x:c r="G21" s="9" t="str">
        <x:v>evidence/unit.trx :: SmartLibrary.UnitTests.Features.Ai.AiInsightsServiceTests.GetLibrarianWorkspaceAsync_WhenReader_ReturnsForbidden</x:v>
      </x:c>
      <x:c r="H21" s="9" t="str">
        <x:v>evidence/unit.trx :: SmartLibrary.UnitTests.Features.Ai.AiInsightsServiceTests.GetLibrarianWorkspaceAsync_WhenTrendsOff_HidesStats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Not Tes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F002 — AiSettingsServiceTests.GetStatusAsync</x:v>
      </x:c>
      <x:c r="G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UT-004</x:v>
      </x:c>
      <x:c r="G9" s="5" t="str">
        <x:v>UT-005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Get Status Async — Admin Never Sees Key Meta</x:v>
      </x:c>
      <x:c r="G10" s="9" t="str">
        <x:v>Get Status Async — Uses Last Test Result For Active Provider Only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adminStatus.CanEditApiKey.Should().BeFalse();
adminStatus.ApiKeyLast4.Should().BeNull();
adminStatus.BaseUrl.Should().BeNull();
adminStatus.Providers.Should().BeEmpty();
adminStatus.HasApiKey.Should().BeTrue();
adminStatus.Provider.Should().Be("gemini");
adminStatus.LibrarianAccounts.Should().ContainSingle(item =&gt; item.UserId == librarianId &amp;&amp; item.HasApiKey);
adminStatus.LibrarianAccounts[0].Should().NotBeNull();</x:v>
      </x:c>
      <x:c r="G13" s="9" t="str">
        <x:v>saved.IsSuccess.Should().BeTrue();
status.Provider.Should().Be("gemini");
status.LastTestOk.Should().BeNull();
status.LastTestMessage.Should().BeNull();
status.Providers.Should().Contain(item =&gt;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apps/api/tests/SmartLibrary.UnitTests/Features/Ai/AiSettingsServiceTests.cs:105</x:v>
      </x:c>
      <x:c r="G14" s="9" t="str">
        <x:v>apps/api/tests/SmartLibrary.UnitTests/Features/Ai/AiSettingsServiceTests.cs:487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FullyQualifiedName~AiSettingsServiceTests.GetStatusAsync_AdminNeverSeesKeyMeta</x:v>
      </x:c>
      <x:c r="G15" s="9" t="str">
        <x:v>dotnet test UnitTests project --filter FullyQualifiedName~AiSettingsServiceTests.GetStatusAsync_UsesLastTestResultForActiveProviderOnly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00:00:00.0057498</x:v>
      </x:c>
      <x:c r="G20" s="9" t="str">
        <x:v>00:00:00.0049581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SmartLibrary.UnitTests.Features.Ai.AiSettingsServiceTests.GetStatusAsync_AdminNeverSeesKeyMeta</x:v>
      </x:c>
      <x:c r="G21" s="9" t="str">
        <x:v>evidence/unit.trx :: SmartLibrary.UnitTests.Features.Ai.AiSettingsServiceTests.GetStatusAsync_UsesLastTestResultForActiveProviderOnly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3" priority="1" operator="containsText" text="Passed"/>
    <x:cfRule type="containsText" dxfId="4" priority="2" operator="containsText" text="Failed"/>
    <x:cfRule type="containsText" dxfId="5" priority="3" operator="containsText" text="Not Tes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F003 — AiSettingsServiceTests.ResolveForAskAsync</x:v>
      </x:c>
      <x:c r="G2" s="10"/>
      <x:c r="H2" s="10"/>
      <x:c r="I2" s="10"/>
      <x:c r="J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COUNTIF(F18:J18,"Passed")</x:f>
        <x:v>5</x:v>
      </x:c>
      <x:c r="B7" t="n">
        <x:f>COUNTIF(F18:J18,"Failed")</x:f>
        <x:v>0</x:v>
      </x:c>
      <x:c r="C7" t="n">
        <x:f>COUNTIF(F18:J18,"Not Tested")</x:f>
        <x:v>0</x:v>
      </x:c>
      <x:c r="D7" t="n">
        <x:f>COUNTA(F9:J9)</x:f>
        <x:v>5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UT-006</x:v>
      </x:c>
      <x:c r="G9" s="5" t="str">
        <x:v>UT-007</x:v>
      </x:c>
      <x:c r="H9" s="5" t="str">
        <x:v>UT-008</x:v>
      </x:c>
      <x:c r="I9" s="5" t="str">
        <x:v>UT-009</x:v>
      </x:c>
      <x:c r="J9" s="5" t="str">
        <x:v>UT-010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Resolve For Ask Async — Reader Uses Library Not Other Librarian</x:v>
      </x:c>
      <x:c r="G10" s="9" t="str">
        <x:v>Resolve For Ask Async — When Active Librarian Credential Cannot Be Decrypted — Returns Actionable Failure</x:v>
      </x:c>
      <x:c r="H10" s="9" t="str">
        <x:v>Resolve For Ask Async — When Admin Disables Account — Blocks Librarian</x:v>
      </x:c>
      <x:c r="I10" s="9" t="str">
        <x:v>Resolve For Ask Async — When Library Credential Cannot Be Decrypted — Returns Actionable Failure</x:v>
      </x:c>
      <x:c r="J10" s="9" t="str">
        <x:v>Resolve For Ask Async — When System Off — Ignores Personal Key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  <x:c r="H11" s="9" t="str">
        <x:v>Arrange fixture and test doubles defined in AiSettingsServiceTests. No live service.</x:v>
      </x:c>
      <x:c r="I11" s="9" t="str">
        <x:v>Arrange fixture and test doubles defined in AiSettingsServiceTests. No live service.</x:v>
      </x:c>
      <x:c r="J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result.Data!.ApiKey.Should().Be("library-key-aaaaaaaaaaaa");
result.Data.OwnerUserId.Should().Be(libraryId);
result.Data.Provider.Should().Be("gemini");</x:v>
      </x:c>
      <x:c r="G13" s="9" t="str">
        <x:v>result.IsSuccess.Should().BeFalse();
result.Error.Should().Contain("Ai:EncryptionKey");
result.Error.Should().Contain("nhập, lưu lại API Key");</x:v>
      </x:c>
      <x:c r="H13" s="9" t="str">
        <x:v>result.IsSuccess.Should().BeFalse();
result.Error.Should().Contain("tắt quyền");</x:v>
      </x:c>
      <x:c r="I13" s="9" t="str">
        <x:v>result.IsSuccess.Should().BeFalse();
result.Error.Should().Contain("Ai:EncryptionKey");
result.Error.Should().Contain("nhập, lưu lại API Key");</x:v>
      </x:c>
      <x:c r="J13" s="9" t="str">
        <x:v>result.IsSuccess.Should().BeFalse();
result.Error.Should().Contain("đang tắt");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apps/api/tests/SmartLibrary.UnitTests/Features/Ai/AiSettingsServiceTests.cs:526</x:v>
      </x:c>
      <x:c r="G14" s="9" t="str">
        <x:v>apps/api/tests/SmartLibrary.UnitTests/Features/Ai/AiSettingsServiceTests.cs:576</x:v>
      </x:c>
      <x:c r="H14" s="9" t="str">
        <x:v>apps/api/tests/SmartLibrary.UnitTests/Features/Ai/AiSettingsServiceTests.cs:599</x:v>
      </x:c>
      <x:c r="I14" s="9" t="str">
        <x:v>apps/api/tests/SmartLibrary.UnitTests/Features/Ai/AiSettingsServiceTests.cs:560</x:v>
      </x:c>
      <x:c r="J14" s="9" t="str">
        <x:v>apps/api/tests/SmartLibrary.UnitTests/Features/Ai/AiSettingsServiceTests.cs:618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FullyQualifiedName~AiSettingsServiceTests.ResolveForAskAsync_ReaderUsesLibraryNotOtherLibrarian</x:v>
      </x:c>
      <x:c r="G15" s="9" t="str">
        <x:v>dotnet test UnitTests project --filter FullyQualifiedName~AiSettingsServiceTests.ResolveForAskAsync_WhenActiveLibrarianCredentialCannotBeDecrypted_ReturnsActionableFailure</x:v>
      </x:c>
      <x:c r="H15" s="9" t="str">
        <x:v>dotnet test UnitTests project --filter FullyQualifiedName~AiSettingsServiceTests.ResolveForAskAsync_WhenAdminDisablesAccount_BlocksLibrarian</x:v>
      </x:c>
      <x:c r="I15" s="9" t="str">
        <x:v>dotnet test UnitTests project --filter FullyQualifiedName~AiSettingsServiceTests.ResolveForAskAsync_WhenLibraryCredentialCannotBeDecrypted_ReturnsActionableFailure</x:v>
      </x:c>
      <x:c r="J15" s="9" t="str">
        <x:v>dotnet test UnitTests project --filter FullyQualifiedName~AiSettingsServiceTests.ResolveForAskAsync_WhenSystemOff_IgnoresPersonalKey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  <x:c r="H17" s="9" t="str">
        <x:v>N</x:v>
      </x:c>
      <x:c r="I17" s="9" t="str">
        <x:v>A</x:v>
      </x:c>
      <x:c r="J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00:00:00.0026357</x:v>
      </x:c>
      <x:c r="G20" s="9" t="str">
        <x:v>00:00:00.0058066</x:v>
      </x:c>
      <x:c r="H20" s="9" t="str">
        <x:v>00:00:00.0022633</x:v>
      </x:c>
      <x:c r="I20" s="9" t="str">
        <x:v>00:00:00.0111925</x:v>
      </x:c>
      <x:c r="J20" s="9" t="str">
        <x:v>00:00:00.0020483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SmartLibrary.UnitTests.Features.Ai.AiSettingsServiceTests.ResolveForAskAsync_ReaderUsesLibraryNotOtherLibrarian</x:v>
      </x:c>
      <x:c r="G21" s="9" t="str">
        <x:v>evidence/unit.trx :: SmartLibrary.UnitTests.Features.Ai.AiSettingsServiceTests.ResolveForAskAsync_WhenActiveLibrarianCredentialCannotBeDecrypted_ReturnsActionableFailure</x:v>
      </x:c>
      <x:c r="H21" s="9" t="str">
        <x:v>evidence/unit.trx :: SmartLibrary.UnitTests.Features.Ai.AiSettingsServiceTests.ResolveForAskAsync_WhenAdminDisablesAccount_BlocksLibrarian</x:v>
      </x:c>
      <x:c r="I21" s="9" t="str">
        <x:v>evidence/unit.trx :: SmartLibrary.UnitTests.Features.Ai.AiSettingsServiceTests.ResolveForAskAsync_WhenLibraryCredentialCannotBeDecrypted_ReturnsActionableFailure</x:v>
      </x:c>
      <x:c r="J21" s="9" t="str">
        <x:v>evidence/unit.trx :: SmartLibrary.UnitTests.Features.Ai.AiSettingsServiceTests.ResolveForAskAsync_WhenSystemOff_IgnoresPersonalKey</x:v>
      </x:c>
    </x:row>
  </x:sheetData>
  <x:mergeCells>
    <x:mergeCell ref="A2:E2"/>
    <x:mergeCell ref="F2:J2"/>
    <x:mergeCell ref="A3:E3"/>
    <x:mergeCell ref="F3:J3"/>
    <x:mergeCell ref="A4:E4"/>
    <x:mergeCell ref="F4:J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J18">
    <x:cfRule type="containsText" dxfId="6" priority="1" operator="containsText" text="Passed"/>
    <x:cfRule type="containsText" dxfId="7" priority="2" operator="containsText" text="Failed"/>
    <x:cfRule type="containsText" dxfId="8" priority="3" operator="containsText" text="Not Tes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F004 — AiSettingsServiceTests.ResolveLibraryAsync</x:v>
      </x:c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UT-011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Resolve Library Async — Uses Deep Seek For Chat And Gemini For Embeddings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savedChat.IsSuccess.Should().BeTrue();
result.IsSuccess.Should().BeTrue();
result.Data!.Provider.Should().Be("deepseek");
result.Data.ApiKey.Should().Be("sk-deepseek-chat-key-for-unit-tests");
result.Data.ChatModel.Should().Be("deepseek-flash");
result.Data.EmbeddingProvider.Should().Be("gemini");
result.Data.EmbeddingApiKey.Should().Be("AIzaSyGeminiEmbeddingKeyForUnitTest123");
result.Data.EmbeddingModel.Should().Be("gemini-embedding-001");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apps/api/tests/SmartLibrary.UnitTests/Features/Ai/AiSettingsServiceTests.cs:418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FullyQualifiedName~AiSettingsServiceTests.ResolveLibraryAsync_UsesDeepSeekForChatAndGeminiForEmbeddings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00:00:00.0044180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SmartLibrary.UnitTests.Features.Ai.AiSettingsServiceTests.ResolveLibraryAsync_UsesDeepSeekForChatAndGeminiForEmbeddings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9" priority="1" operator="containsText" text="Passed"/>
    <x:cfRule type="containsText" dxfId="10" priority="2" operator="containsText" text="Failed"/>
    <x:cfRule type="containsText" dxfId="11" priority="3" operator="containsText" text="Not Tes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F005 — AiSettingsServiceTests.SaveAdminAsync</x:v>
      </x:c>
      <x:c r="G2" s="10"/>
      <x:c r="H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UT-012</x:v>
      </x:c>
      <x:c r="G9" s="5" t="str">
        <x:v>UT-013</x:v>
      </x:c>
      <x:c r="H9" s="5" t="str">
        <x:v>UT-014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Save Admin Async — Rejects Api Key</x:v>
      </x:c>
      <x:c r="G10" s="9" t="str">
        <x:v>Save Admin Async — Saves Flags Without Key</x:v>
      </x:c>
      <x:c r="H10" s="9" t="str">
        <x:v>Save Admin Async — When Librarian — Returns Forbidden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  <x:c r="H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result.Error.Should().Contain("không lưu API Key");</x:v>
      </x:c>
      <x:c r="G13" s="9" t="str">
        <x:v>result.IsSuccess.Should().BeTrue();
result.Data!.IsEnabled.Should().BeTrue();
result.Data.ReaderAiEnabled.Should().BeTrue();
result.Data.CanEditApiKey.Should().BeFalse();
result.Data.ApiKeyLast4.Should().BeNull();
_policy.IsEnabled.Should().BeTrue();</x:v>
      </x:c>
      <x:c r="H13" s="9" t="str">
        <x:v>result.IsSuccess.Should().BeFalse();
result.Error.Should().Contain("Admin");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apps/api/tests/SmartLibrary.UnitTests/Features/Ai/AiSettingsServiceTests.cs:76</x:v>
      </x:c>
      <x:c r="G14" s="9" t="str">
        <x:v>apps/api/tests/SmartLibrary.UnitTests/Features/Ai/AiSettingsServiceTests.cs:89</x:v>
      </x:c>
      <x:c r="H14" s="9" t="str">
        <x:v>apps/api/tests/SmartLibrary.UnitTests/Features/Ai/AiSettingsServiceTests.cs:63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FullyQualifiedName~AiSettingsServiceTests.SaveAdminAsync_RejectsApiKey</x:v>
      </x:c>
      <x:c r="G15" s="9" t="str">
        <x:v>dotnet test UnitTests project --filter FullyQualifiedName~AiSettingsServiceTests.SaveAdminAsync_SavesFlagsWithoutKey</x:v>
      </x:c>
      <x:c r="H15" s="9" t="str">
        <x:v>dotnet test UnitTests project --filter FullyQualifiedName~AiSettingsServiceTests.SaveAdminAsync_WhenLibrarian_ReturnsForbidden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N</x:v>
      </x:c>
      <x:c r="H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00:00:00.0032913</x:v>
      </x:c>
      <x:c r="G20" s="9" t="str">
        <x:v>00:00:00.0028202</x:v>
      </x:c>
      <x:c r="H20" s="9" t="str">
        <x:v>00:00:00.0278965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SmartLibrary.UnitTests.Features.Ai.AiSettingsServiceTests.SaveAdminAsync_RejectsApiKey</x:v>
      </x:c>
      <x:c r="G21" s="9" t="str">
        <x:v>evidence/unit.trx :: SmartLibrary.UnitTests.Features.Ai.AiSettingsServiceTests.SaveAdminAsync_SavesFlagsWithoutKey</x:v>
      </x:c>
      <x:c r="H21" s="9" t="str">
        <x:v>evidence/unit.trx :: SmartLibrary.UnitTests.Features.Ai.AiSettingsServiceTests.SaveAdminAsync_WhenLibrarian_ReturnsForbidden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12" priority="1" operator="containsText" text="Passed"/>
    <x:cfRule type="containsText" dxfId="13" priority="2" operator="containsText" text="Failed"/>
    <x:cfRule type="containsText" dxfId="14" priority="3" operator="containsText" text="Not Tes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F006 — AiSettingsServiceTests.SaveLibrarianAsync</x:v>
      </x:c>
      <x:c r="G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UT-015</x:v>
      </x:c>
      <x:c r="G9" s="5" t="str">
        <x:v>UT-016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Save Librarian Async — Does Not Write Api Key</x:v>
      </x:c>
      <x:c r="G10" s="9" t="str">
        <x:v>Save Librarian Async — When Enabling Service — Returns Forbidden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_policy.EncryptedApiKey.Should().Be("enc:keep-me");
result.Data!.ApiKeyLast4.Should().BeNull();
result.Data.UseMajor.Should().BeTrue();</x:v>
      </x:c>
      <x:c r="G13" s="9" t="str">
        <x:v>result.IsSuccess.Should().BeFalse();
result.Error.Should().Contain("Admin");
_policy.LibrarianAiEnabled.Should().BeFalse();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apps/api/tests/SmartLibrary.UnitTests/Features/Ai/AiSettingsServiceTests.cs:228</x:v>
      </x:c>
      <x:c r="G14" s="9" t="str">
        <x:v>apps/api/tests/SmartLibrary.UnitTests/Features/Ai/AiSettingsServiceTests.cs:247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FullyQualifiedName~AiSettingsServiceTests.SaveLibrarianAsync_DoesNotWriteApiKey</x:v>
      </x:c>
      <x:c r="G15" s="9" t="str">
        <x:v>dotnet test UnitTests project --filter FullyQualifiedName~AiSettingsServiceTests.SaveLibrarianAsync_WhenEnablingService_ReturnsForbidden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00:00:00.0155135</x:v>
      </x:c>
      <x:c r="G20" s="9" t="str">
        <x:v>00:00:00.0042412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SmartLibrary.UnitTests.Features.Ai.AiSettingsServiceTests.SaveLibrarianAsync_DoesNotWriteApiKey</x:v>
      </x:c>
      <x:c r="G21" s="9" t="str">
        <x:v>evidence/unit.trx :: SmartLibrary.UnitTests.Features.Ai.AiSettingsServiceTests.SaveLibrarianAsync_WhenEnablingService_ReturnsForbidden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5" priority="1" operator="containsText" text="Passed"/>
    <x:cfRule type="containsText" dxfId="16" priority="2" operator="containsText" text="Failed"/>
    <x:cfRule type="containsText" dxfId="17" priority="3" operator="containsText" text="Not Test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F007 — AiSettingsServiceTests.SaveMyProviderAsync</x:v>
      </x:c>
      <x:c r="G2" s="10"/>
      <x:c r="H2" s="10"/>
      <x:c r="I2" s="10"/>
      <x:c r="J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COUNTIF(F18:J18,"Passed")</x:f>
        <x:v>5</x:v>
      </x:c>
      <x:c r="B7" t="n">
        <x:f>COUNTIF(F18:J18,"Failed")</x:f>
        <x:v>0</x:v>
      </x:c>
      <x:c r="C7" t="n">
        <x:f>COUNTIF(F18:J18,"Not Tested")</x:f>
        <x:v>0</x:v>
      </x:c>
      <x:c r="D7" t="n">
        <x:f>COUNTA(F9:J9)</x:f>
        <x:v>5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UT-017</x:v>
      </x:c>
      <x:c r="G9" s="5" t="str">
        <x:v>UT-018</x:v>
      </x:c>
      <x:c r="H9" s="5" t="str">
        <x:v>UT-019</x:v>
      </x:c>
      <x:c r="I9" s="5" t="str">
        <x:v>UT-020</x:v>
      </x:c>
      <x:c r="J9" s="5" t="str">
        <x:v>UT-021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Save My Provider Async — Allows Onnx Embedding Without An Embedding Api Key</x:v>
      </x:c>
      <x:c r="G10" s="9" t="str">
        <x:v>Save My Provider Async — Isolates Librarian Keys</x:v>
      </x:c>
      <x:c r="H10" s="9" t="str">
        <x:v>Save My Provider Async — Uses Ollama And Local Embedding Without Api Key</x:v>
      </x:c>
      <x:c r="I10" s="9" t="str">
        <x:v>Save My Provider Async — When Admin — Returns Forbidden</x:v>
      </x:c>
      <x:c r="J10" s="9" t="str">
        <x:v>Save My Provider Async — When Claude For Library — Uses Local Embedding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  <x:c r="H11" s="9" t="str">
        <x:v>Arrange fixture and test doubles defined in AiSettingsServiceTests. No live service.</x:v>
      </x:c>
      <x:c r="I11" s="9" t="str">
        <x:v>Arrange fixture and test doubles defined in AiSettingsServiceTests. No live service.</x:v>
      </x:c>
      <x:c r="J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saved.IsSuccess.Should().BeTrue();
saved.Data!.Provider.Should().Be("deepseek");
saved.Data.EmbeddingProvider.Should().Be("local");
saved.Data.EmbeddingModel.Should().Be(AiRuntimeCredential.LocalEmbeddingModelId);
saved.Data.Providers.Should().Contain(item =&gt; item.Id == "local" &amp;&amp; !item.HasApiKey);</x:v>
      </x:c>
      <x:c r="G13" s="9" t="str">
        <x:v>savedA.IsSuccess.Should().BeTrue();
savedA.Data!.ApiKey.Should().Be("AIzaSyLibrarianA-Key-12345678");
savedA.Data.ApiKeyLast4.Should().Be("5678");
savedA.Data.CanEditApiKey.Should().BeTrue();
savedB.Data!.ApiKey.Should().Be("sk-librarian-b-key-for-tests-99");
savedB.Data.ApiKeyLast4.Should().Be("s-99");
savedB.Data.Provider.Should().Be("openai");
statusA.ApiKey.Should().Be("AIzaSyLibrarianA-Key-12345678");</x:v>
      </x:c>
      <x:c r="H13" s="9" t="str">
        <x:v>saved.IsSuccess.Should().BeTrue();
saved.Data!.Provider.Should().Be("ollama");
saved.Data.ChatModel.Should().Be(AiRuntimeCredential.LocalChatModelId);
saved.Data.EmbeddingProvider.Should().Be("local");
saved.Data.HasApiKey.Should().BeTrue();
saved.Data.ApiKey.Should().BeNull();
_users[librarianId].EncryptedApiKey.Should().BeNull();
credential.IsSuccess.Should().BeTrue();</x:v>
      </x:c>
      <x:c r="I13" s="9" t="str">
        <x:v>result.IsSuccess.Should().BeFalse();
result.Error.Should().Contain("Thủ thư");
_users.Should().BeEmpty();</x:v>
      </x:c>
      <x:c r="J13" s="9" t="str">
        <x:v>result.IsSuccess.Should().BeTrue();
result.Data!.EmbeddingProvider.Should().Be("local");
json.Should().NotContain("enc:");
json.Should().NotContain("secret-key");
json.Should().NotContain("AIza");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apps/api/tests/SmartLibrary.UnitTests/Features/Ai/AiSettingsServiceTests.cs:191</x:v>
      </x:c>
      <x:c r="G14" s="9" t="str">
        <x:v>apps/api/tests/SmartLibrary.UnitTests/Features/Ai/AiSettingsServiceTests.cs:140</x:v>
      </x:c>
      <x:c r="H14" s="9" t="str">
        <x:v>apps/api/tests/SmartLibrary.UnitTests/Features/Ai/AiSettingsServiceTests.cs:363</x:v>
      </x:c>
      <x:c r="I14" s="9" t="str">
        <x:v>apps/api/tests/SmartLibrary.UnitTests/Features/Ai/AiSettingsServiceTests.cs:215</x:v>
      </x:c>
      <x:c r="J14" s="9" t="str">
        <x:v>apps/api/tests/SmartLibrary.UnitTests/Features/Ai/AiSettingsServiceTests.cs:656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FullyQualifiedName~AiSettingsServiceTests.SaveMyProviderAsync_AllowsOnnxEmbeddingWithoutAnEmbeddingApiKey</x:v>
      </x:c>
      <x:c r="G15" s="9" t="str">
        <x:v>dotnet test UnitTests project --filter FullyQualifiedName~AiSettingsServiceTests.SaveMyProviderAsync_IsolatesLibrarianKeys</x:v>
      </x:c>
      <x:c r="H15" s="9" t="str">
        <x:v>dotnet test UnitTests project --filter FullyQualifiedName~AiSettingsServiceTests.SaveMyProviderAsync_UsesOllamaAndLocalEmbeddingWithoutApiKey</x:v>
      </x:c>
      <x:c r="I15" s="9" t="str">
        <x:v>dotnet test UnitTests project --filter FullyQualifiedName~AiSettingsServiceTests.SaveMyProviderAsync_WhenAdmin_ReturnsForbidden</x:v>
      </x:c>
      <x:c r="J15" s="9" t="str">
        <x:v>dotnet test UnitTests project --filter FullyQualifiedName~AiSettingsServiceTests.SaveMyProviderAsync_WhenClaudeForLibrary_UsesLocalEmbedding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  <x:c r="I17" s="9" t="str">
        <x:v>A</x:v>
      </x:c>
      <x:c r="J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00:00:00.0032685</x:v>
      </x:c>
      <x:c r="G20" s="9" t="str">
        <x:v>00:00:00.0275355</x:v>
      </x:c>
      <x:c r="H20" s="9" t="str">
        <x:v>00:00:00.0078760</x:v>
      </x:c>
      <x:c r="I20" s="9" t="str">
        <x:v>00:00:00.0073685</x:v>
      </x:c>
      <x:c r="J20" s="9" t="str">
        <x:v>00:00:00.0133350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SmartLibrary.UnitTests.Features.Ai.AiSettingsServiceTests.SaveMyProviderAsync_AllowsOnnxEmbeddingWithoutAnEmbeddingApiKey</x:v>
      </x:c>
      <x:c r="G21" s="9" t="str">
        <x:v>evidence/unit.trx :: SmartLibrary.UnitTests.Features.Ai.AiSettingsServiceTests.SaveMyProviderAsync_IsolatesLibrarianKeys</x:v>
      </x:c>
      <x:c r="H21" s="9" t="str">
        <x:v>evidence/unit.trx :: SmartLibrary.UnitTests.Features.Ai.AiSettingsServiceTests.SaveMyProviderAsync_UsesOllamaAndLocalEmbeddingWithoutApiKey</x:v>
      </x:c>
      <x:c r="I21" s="9" t="str">
        <x:v>evidence/unit.trx :: SmartLibrary.UnitTests.Features.Ai.AiSettingsServiceTests.SaveMyProviderAsync_WhenAdmin_ReturnsForbidden</x:v>
      </x:c>
      <x:c r="J21" s="9" t="str">
        <x:v>evidence/unit.trx :: SmartLibrary.UnitTests.Features.Ai.AiSettingsServiceTests.SaveMyProviderAsync_WhenClaudeForLibrary_UsesLocalEmbedding</x:v>
      </x:c>
    </x:row>
  </x:sheetData>
  <x:mergeCells>
    <x:mergeCell ref="A2:E2"/>
    <x:mergeCell ref="F2:J2"/>
    <x:mergeCell ref="A3:E3"/>
    <x:mergeCell ref="F3:J3"/>
    <x:mergeCell ref="A4:E4"/>
    <x:mergeCell ref="F4:J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J18">
    <x:cfRule type="containsText" dxfId="18" priority="1" operator="containsText" text="Passed"/>
    <x:cfRule type="containsText" dxfId="19" priority="2" operator="containsText" text="Failed"/>
    <x:cfRule type="containsText" dxfId="20" priority="3" operator="containsText" text="Not Test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F008 — AiSettingsServiceTests.SetLibrarianAccountEnabledAsync</x:v>
      </x:c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UT-022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Set Librarian Account Enabled Async — Clears Library Active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_users[librarianId].IsEnabled.Should().BeFalse();
_policy.ActiveLibrarianUserId.Should().BeNull();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apps/api/tests/SmartLibrary.UnitTests/Features/Ai/AiSettingsServiceTests.cs:637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FullyQualifiedName~AiSettingsServiceTests.SetLibrarianAccountEnabledAsync_ClearsLibraryActive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00:00:00.0105278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SmartLibrary.UnitTests.Features.Ai.AiSettingsServiceTests.SetLibrarianAccountEnabledAsync_ClearsLibraryActive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1" priority="1" operator="containsText" text="Passed"/>
    <x:cfRule type="containsText" dxfId="22" priority="2" operator="containsText" text="Failed"/>
    <x:cfRule type="containsText" dxfId="23" priority="3" operator="containsText" text="Not Test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F009 — AiSettingsServiceTests.TestConnectionAsync</x:v>
      </x:c>
      <x:c r="G2" s="10"/>
      <x:c r="H2" s="10"/>
      <x:c r="I2" s="10"/>
    </x:row>
    <x:row r="3">
      <x:c r="A3" t="str">
        <x:v>Source class</x:v>
      </x:c>
      <x:c r="F3" t="str">
        <x:v>AiSettingsServiceTests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UT-023</x:v>
      </x:c>
      <x:c r="G9" s="5" t="str">
        <x:v>UT-024</x:v>
      </x:c>
      <x:c r="H9" s="5" t="str">
        <x:v>UT-025</x:v>
      </x:c>
      <x:c r="I9" s="5" t="str">
        <x:v>UT-026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Test Connection Async — Invalid Key — Returns Vendor Error</x:v>
      </x:c>
      <x:c r="G10" s="9" t="str">
        <x:v>Test Connection Async — Librarian Uses Own Key And Model</x:v>
      </x:c>
      <x:c r="H10" s="9" t="str">
        <x:v>Test Connection Async — Librarian Without Key — Returns Not Configured</x:v>
      </x:c>
      <x:c r="I10" s="9" t="str">
        <x:v>Test Connection Async — Uses Local Embedding Alongside Deep Seek Chat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AiSettingsServiceTests. No live service.</x:v>
      </x:c>
      <x:c r="G11" s="9" t="str">
        <x:v>Arrange fixture and test doubles defined in AiSettingsServiceTests. No live service.</x:v>
      </x:c>
      <x:c r="H11" s="9" t="str">
        <x:v>Arrange fixture and test doubles defined in AiSettingsServiceTests. No live service.</x:v>
      </x:c>
      <x:c r="I11" s="9" t="str">
        <x:v>Arrange fixture and test doubles defined in AiSettingsServiceTests.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result.Data!.Ok.Should().BeFalse();
result.Data.Message.Should().Contain("không hợp lệ");
result.Data.Message.Should().NotContain("AIza");
_users[librarianId].LastTestOk.Should().BeFalse();</x:v>
      </x:c>
      <x:c r="G13" s="9" t="str">
        <x:v>result.IsSuccess.Should().BeTrue();
result.Data!.Ok.Should().BeTrue();
result.Data.Provider.Should().Be("gemini");
_users[librarianId].LastTestOk.Should().BeTrue();</x:v>
      </x:c>
      <x:c r="H13" s="9" t="str">
        <x:v>result.IsSuccess.Should().BeFalse();
result.Error.Should().Contain("Chưa cấu hình");</x:v>
      </x:c>
      <x:c r="I13" s="9" t="str">
        <x:v>result.IsSuccess.Should().BeTrue();
result.Data!.Ok.Should().BeTrue();
result.Data.Message.Should().Contain("embedding Embedding ONNX cục bộ");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apps/api/tests/SmartLibrary.UnitTests/Features/Ai/AiSettingsServiceTests.cs:457</x:v>
      </x:c>
      <x:c r="G14" s="9" t="str">
        <x:v>apps/api/tests/SmartLibrary.UnitTests/Features/Ai/AiSettingsServiceTests.cs:279</x:v>
      </x:c>
      <x:c r="H14" s="9" t="str">
        <x:v>apps/api/tests/SmartLibrary.UnitTests/Features/Ai/AiSettingsServiceTests.cs:263</x:v>
      </x:c>
      <x:c r="I14" s="9" t="str">
        <x:v>apps/api/tests/SmartLibrary.UnitTests/Features/Ai/AiSettingsServiceTests.cs:317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FullyQualifiedName~AiSettingsServiceTests.TestConnectionAsync_InvalidKey_ReturnsVendorError</x:v>
      </x:c>
      <x:c r="G15" s="9" t="str">
        <x:v>dotnet test UnitTests project --filter FullyQualifiedName~AiSettingsServiceTests.TestConnectionAsync_LibrarianUsesOwnKeyAndModel</x:v>
      </x:c>
      <x:c r="H15" s="9" t="str">
        <x:v>dotnet test UnitTests project --filter FullyQualifiedName~AiSettingsServiceTests.TestConnectionAsync_LibrarianWithoutKey_ReturnsNotConfigured</x:v>
      </x:c>
      <x:c r="I15" s="9" t="str">
        <x:v>dotnet test UnitTests project --filter FullyQualifiedName~AiSettingsServiceTests.TestConnectionAsync_UsesLocalEmbeddingAlongsideDeepSeekChat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N</x:v>
      </x:c>
      <x:c r="H17" s="9" t="str">
        <x:v>N</x:v>
      </x:c>
      <x:c r="I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00:00:00.2777141</x:v>
      </x:c>
      <x:c r="G20" s="9" t="str">
        <x:v>00:00:00.0063445</x:v>
      </x:c>
      <x:c r="H20" s="9" t="str">
        <x:v>00:00:00.0140599</x:v>
      </x:c>
      <x:c r="I20" s="9" t="str">
        <x:v>00:00:00.0066379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SmartLibrary.UnitTests.Features.Ai.AiSettingsServiceTests.TestConnectionAsync_InvalidKey_ReturnsVendorError</x:v>
      </x:c>
      <x:c r="G21" s="9" t="str">
        <x:v>evidence/unit.trx :: SmartLibrary.UnitTests.Features.Ai.AiSettingsServiceTests.TestConnectionAsync_LibrarianUsesOwnKeyAndModel</x:v>
      </x:c>
      <x:c r="H21" s="9" t="str">
        <x:v>evidence/unit.trx :: SmartLibrary.UnitTests.Features.Ai.AiSettingsServiceTests.TestConnectionAsync_LibrarianWithoutKey_ReturnsNotConfigured</x:v>
      </x:c>
      <x:c r="I21" s="9" t="str">
        <x:v>evidence/unit.trx :: SmartLibrary.UnitTests.Features.Ai.AiSettingsServiceTests.TestConnectionAsync_UsesLocalEmbeddingAlongsideDeepSeekChat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24" priority="1" operator="containsText" text="Passed"/>
    <x:cfRule type="containsText" dxfId="25" priority="2" operator="containsText" text="Failed"/>
    <x:cfRule type="containsText" dxfId="26" priority="3" operator="containsText" text="Not Tes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F010 — RegisterCommandValidatorTests.Validate</x:v>
      </x:c>
      <x:c r="G2" s="10"/>
      <x:c r="H2" s="10"/>
      <x:c r="I2" s="10"/>
    </x:row>
    <x:row r="3">
      <x:c r="A3" t="str">
        <x:v>Source class</x:v>
      </x:c>
      <x:c r="F3" t="str">
        <x:v>RegisterCommandValidatorTests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UT-027</x:v>
      </x:c>
      <x:c r="G9" s="5" t="str">
        <x:v>UT-028</x:v>
      </x:c>
      <x:c r="H9" s="5" t="str">
        <x:v>UT-029</x:v>
      </x:c>
      <x:c r="I9" s="5" t="str">
        <x:v>UT-030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Validate — When Passwords Do Not Match — Rejects Confirmation</x:v>
      </x:c>
      <x:c r="G10" s="9" t="str">
        <x:v>Validate — With Any Non Empty Matching Password — Accepts Password</x:v>
      </x:c>
      <x:c r="H10" s="9" t="str">
        <x:v>Validate — With Any Non Empty Matching Password — Accepts Password</x:v>
      </x:c>
      <x:c r="I10" s="9" t="str">
        <x:v>Validate — With Any Non Empty Matching Password — Accepts Password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RegisterCommandValidatorTests. No live service.</x:v>
      </x:c>
      <x:c r="G11" s="9" t="str">
        <x:v>Arrange fixture and test doubles defined in RegisterCommandValidatorTests. No live service.</x:v>
      </x:c>
      <x:c r="H11" s="9" t="str">
        <x:v>Arrange fixture and test doubles defined in RegisterCommandValidatorTests. No live service.</x:v>
      </x:c>
      <x:c r="I11" s="9" t="str">
        <x:v>Arrange fixture and test doubles defined in RegisterCommandValidatorTests.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password: "  password with spaces  "</x:v>
      </x:c>
      <x:c r="H12" s="9" t="str">
        <x:v>password: "1"</x:v>
      </x:c>
      <x:c r="I12" s="9" t="str">
        <x:v>password: "simple"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result.Errors.Should().ContainSingle(error =&gt;</x:v>
      </x:c>
      <x:c r="G13" s="9" t="str">
        <x:v>result.Errors.Should().NotContain(error =&gt;</x:v>
      </x:c>
      <x:c r="H13" s="9" t="str">
        <x:v>result.Errors.Should().NotContain(error =&gt;</x:v>
      </x:c>
      <x:c r="I13" s="9" t="str">
        <x:v>result.Errors.Should().NotContain(error =&gt;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apps/api/tests/SmartLibrary.UnitTests/Features/Auth/RegisterCommandValidatorTests.cs:31</x:v>
      </x:c>
      <x:c r="G14" s="9" t="str">
        <x:v>apps/api/tests/SmartLibrary.UnitTests/Features/Auth/RegisterCommandValidatorTests.cs:14</x:v>
      </x:c>
      <x:c r="H14" s="9" t="str">
        <x:v>apps/api/tests/SmartLibrary.UnitTests/Features/Auth/RegisterCommandValidatorTests.cs:14</x:v>
      </x:c>
      <x:c r="I14" s="9" t="str">
        <x:v>apps/api/tests/SmartLibrary.UnitTests/Features/Auth/RegisterCommandValidatorTests.cs:14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FullyQualifiedName~RegisterCommandValidatorTests.Validate_WhenPasswordsDoNotMatch_RejectsConfirmation</x:v>
      </x:c>
      <x:c r="G15" s="9" t="str">
        <x:v>dotnet test UnitTests project --filter FullyQualifiedName~RegisterCommandValidatorTests.Validate_WithAnyNonEmptyMatchingPassword_AcceptsPassword</x:v>
      </x:c>
      <x:c r="H15" s="9" t="str">
        <x:v>dotnet test UnitTests project --filter FullyQualifiedName~RegisterCommandValidatorTests.Validate_WithAnyNonEmptyMatchingPassword_AcceptsPassword</x:v>
      </x:c>
      <x:c r="I15" s="9" t="str">
        <x:v>dotnet test UnitTests project --filter FullyQualifiedName~RegisterCommandValidatorTests.Validate_WithAnyNonEmptyMatchingPassword_AcceptsPassword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B</x:v>
      </x:c>
      <x:c r="H17" s="9" t="str">
        <x:v>B</x:v>
      </x:c>
      <x:c r="I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00:00:00.0144920</x:v>
      </x:c>
      <x:c r="G20" s="9" t="str">
        <x:v>00:00:00.0023953</x:v>
      </x:c>
      <x:c r="H20" s="9" t="str">
        <x:v>00:00:00.0008663</x:v>
      </x:c>
      <x:c r="I20" s="9" t="str">
        <x:v>00:00:00.0713321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SmartLibrary.UnitTests.Features.Auth.RegisterCommandValidatorTests.Validate_WhenPasswordsDoNotMatch_RejectsConfirmation</x:v>
      </x:c>
      <x:c r="G21" s="9" t="str">
        <x:v>evidence/unit.trx :: SmartLibrary.UnitTests.Features.Auth.RegisterCommandValidatorTests.Validate_WithAnyNonEmptyMatchingPassword_AcceptsPassword(password: "  password with spaces  ")</x:v>
      </x:c>
      <x:c r="H21" s="9" t="str">
        <x:v>evidence/unit.trx :: SmartLibrary.UnitTests.Features.Auth.RegisterCommandValidatorTests.Validate_WithAnyNonEmptyMatchingPassword_AcceptsPassword(password: "1")</x:v>
      </x:c>
      <x:c r="I21" s="9" t="str">
        <x:v>evidence/unit.trx :: SmartLibrary.UnitTests.Features.Auth.RegisterCommandValidatorTests.Validate_WithAnyNonEmptyMatchingPassword_AcceptsPassword(password: "simple")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27" priority="1" operator="containsText" text="Passed"/>
    <x:cfRule type="containsText" dxfId="28" priority="2" operator="containsText" text="Failed"/>
    <x:cfRule type="containsText" dxfId="29" priority="3" operator="containsText" text="Not Test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F011 — BookKeywordRankerTests.ShortPrefix</x:v>
      </x:c>
    </x:row>
    <x:row r="3">
      <x:c r="A3" t="str">
        <x:v>Source class</x:v>
      </x:c>
      <x:c r="F3" t="str">
        <x:v>BookKeywordRankerTests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Short Prefix — Does Not Match An Unrelated Book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BookKeywordRankerTests.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score.Should().Be(0);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apps/api/tests/SmartLibrary.UnitTests/Features/Books/BookKeywordRankerTests.cs:27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FullyQualifiedName~BookKeywordRankerTests.ShortPrefix_DoesNotMatchAnUnrelatedBook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00:00:00.0005594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SmartLibrary.UnitTests.Features.Books.BookKeywordRankerTests.ShortPrefix_DoesNotMatchAnUnrelatedBook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30" priority="1" operator="containsText" text="Passed"/>
    <x:cfRule type="containsText" dxfId="31" priority="2" operator="containsText" text="Failed"/>
    <x:cfRule type="containsText" dxfId="32" priority="3" operator="containsText" text="Not Test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F012 — BookKeywordRankerTests.ShortTitlePrefixes</x:v>
      </x:c>
      <x:c r="G2" s="10"/>
      <x:c r="H2" s="10"/>
    </x:row>
    <x:row r="3">
      <x:c r="A3" t="str">
        <x:v>Source class</x:v>
      </x:c>
      <x:c r="F3" t="str">
        <x:v>BookKeywordRankerTests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UT-032</x:v>
      </x:c>
      <x:c r="G9" s="5" t="str">
        <x:v>UT-033</x:v>
      </x:c>
      <x:c r="H9" s="5" t="str">
        <x:v>UT-034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Short Title Prefixes — Return Matching Books</x:v>
      </x:c>
      <x:c r="G10" s="9" t="str">
        <x:v>Short Title Prefixes — Return Matching Books</x:v>
      </x:c>
      <x:c r="H10" s="9" t="str">
        <x:v>Short Title Prefixes — Return Matching Books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BookKeywordRankerTests. No live service.</x:v>
      </x:c>
      <x:c r="G11" s="9" t="str">
        <x:v>Arrange fixture and test doubles defined in BookKeywordRankerTests. No live service.</x:v>
      </x:c>
      <x:c r="H11" s="9" t="str">
        <x:v>Arrange fixture and test doubles defined in BookKeywordRankerTests.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query: "P"</x:v>
      </x:c>
      <x:c r="G12" s="9" t="str">
        <x:v>query: "Py"</x:v>
      </x:c>
      <x:c r="H12" s="9" t="str">
        <x:v>query: "Pyt"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score.Should().BeGreaterThan(0);</x:v>
      </x:c>
      <x:c r="G13" s="9" t="str">
        <x:v>score.Should().BeGreaterThan(0);</x:v>
      </x:c>
      <x:c r="H13" s="9" t="str">
        <x:v>score.Should().BeGreaterThan(0);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apps/api/tests/SmartLibrary.UnitTests/Features/Books/BookKeywordRankerTests.cs:12</x:v>
      </x:c>
      <x:c r="G14" s="9" t="str">
        <x:v>apps/api/tests/SmartLibrary.UnitTests/Features/Books/BookKeywordRankerTests.cs:12</x:v>
      </x:c>
      <x:c r="H14" s="9" t="str">
        <x:v>apps/api/tests/SmartLibrary.UnitTests/Features/Books/BookKeywordRankerTests.cs:12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FullyQualifiedName~BookKeywordRankerTests.ShortTitlePrefixes_ReturnMatchingBooks</x:v>
      </x:c>
      <x:c r="G15" s="9" t="str">
        <x:v>dotnet test UnitTests project --filter FullyQualifiedName~BookKeywordRankerTests.ShortTitlePrefixes_ReturnMatchingBooks</x:v>
      </x:c>
      <x:c r="H15" s="9" t="str">
        <x:v>dotnet test UnitTests project --filter FullyQualifiedName~BookKeywordRankerTests.ShortTitlePrefixes_ReturnMatchingBooks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00:00:00.0000599</x:v>
      </x:c>
      <x:c r="G20" s="9" t="str">
        <x:v>00:00:00.0001673</x:v>
      </x:c>
      <x:c r="H20" s="9" t="str">
        <x:v>00:00:00.0009904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SmartLibrary.UnitTests.Features.Books.BookKeywordRankerTests.ShortTitlePrefixes_ReturnMatchingBooks(query: "P")</x:v>
      </x:c>
      <x:c r="G21" s="9" t="str">
        <x:v>evidence/unit.trx :: SmartLibrary.UnitTests.Features.Books.BookKeywordRankerTests.ShortTitlePrefixes_ReturnMatchingBooks(query: "Py")</x:v>
      </x:c>
      <x:c r="H21" s="9" t="str">
        <x:v>evidence/unit.trx :: SmartLibrary.UnitTests.Features.Books.BookKeywordRankerTests.ShortTitlePrefixes_ReturnMatchingBooks(query: "Pyt")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33" priority="1" operator="containsText" text="Passed"/>
    <x:cfRule type="containsText" dxfId="34" priority="2" operator="containsText" text="Failed"/>
    <x:cfRule type="containsText" dxfId="35" priority="3" operator="containsText" text="Not Test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F013 — BookServiceTests.CreateAsync</x:v>
      </x:c>
    </x:row>
    <x:row r="3">
      <x:c r="A3" t="str">
        <x:v>Source class</x:v>
      </x:c>
      <x:c r="F3" t="str">
        <x:v>BookServiceTests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Create Async — With Valid Request — Returns Created Book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BookServiceTests.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result.Data!.Title.Should().Be("New Book");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apps/api/tests/SmartLibrary.UnitTests/Features/Books/BookServiceTests.cs:84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FullyQualifiedName~BookServiceTests.CreateAsync_WithValidRequest_ReturnsCreatedBook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00:00:00.0288699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SmartLibrary.UnitTests.Features.Books.BookServiceTests.CreateAsync_WithValidRequest_ReturnsCreatedBook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36" priority="1" operator="containsText" text="Passed"/>
    <x:cfRule type="containsText" dxfId="37" priority="2" operator="containsText" text="Failed"/>
    <x:cfRule type="containsText" dxfId="38" priority="3" operator="containsText" text="Not Test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F014 — BookServiceTests.DeleteAsync</x:v>
      </x:c>
    </x:row>
    <x:row r="3">
      <x:c r="A3" t="str">
        <x:v>Source class</x:v>
      </x:c>
      <x:c r="F3" t="str">
        <x:v>BookServiceTests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Delete Async — When Book Exists — Soft Deletes And Returns Success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BookServiceTests.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book.IsDeleted.Should().BeTrue(); // Soft delete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apps/api/tests/SmartLibrary.UnitTests/Features/Books/BookServiceTests.cs:113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FullyQualifiedName~BookServiceTests.DeleteAsync_WhenBookExists_SoftDeletesAndReturnsSuccess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00:00:00.0227016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SmartLibrary.UnitTests.Features.Books.BookServiceTests.DeleteAsync_WhenBookExists_SoftDeletesAndReturnsSuccess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39" priority="1" operator="containsText" text="Passed"/>
    <x:cfRule type="containsText" dxfId="40" priority="2" operator="containsText" text="Failed"/>
    <x:cfRule type="containsText" dxfId="41" priority="3" operator="containsText" text="Not Test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F015 — BookServiceTests.GetByIdAsync</x:v>
      </x:c>
      <x:c r="G2" s="10"/>
    </x:row>
    <x:row r="3">
      <x:c r="A3" t="str">
        <x:v>Source class</x:v>
      </x:c>
      <x:c r="F3" t="str">
        <x:v>BookServiceTests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UT-037</x:v>
      </x:c>
      <x:c r="G9" s="5" t="str">
        <x:v>UT-038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Get By Id Async — When Book Does Not Exist — Returns Failure</x:v>
      </x:c>
      <x:c r="G10" s="9" t="str">
        <x:v>Get By Id Async — When Book Exists — Returns Success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BookServiceTests. No live service.</x:v>
      </x:c>
      <x:c r="G11" s="9" t="str">
        <x:v>Arrange fixture and test doubles defined in BookServiceTests.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result.Error.Should().Be(Errors.NotFound);</x:v>
      </x:c>
      <x:c r="G13" s="9" t="str">
        <x:v>result.IsSuccess.Should().BeTrue();
result.Data.Should().NotBeNull();
result.Data!.Title.Should().Be("Clean Code");
result.Data.AuthorNames.Should().Contain("Robert C. Martin");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apps/api/tests/SmartLibrary.UnitTests/Features/Books/BookServiceTests.cs:67</x:v>
      </x:c>
      <x:c r="G14" s="9" t="str">
        <x:v>apps/api/tests/SmartLibrary.UnitTests/Features/Books/BookServiceTests.cs:38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FullyQualifiedName~BookServiceTests.GetByIdAsync_WhenBookDoesNotExist_ReturnsFailure</x:v>
      </x:c>
      <x:c r="G15" s="9" t="str">
        <x:v>dotnet test UnitTests project --filter FullyQualifiedName~BookServiceTests.GetByIdAsync_WhenBookExists_ReturnsSuccess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00:00:00.2990676</x:v>
      </x:c>
      <x:c r="G20" s="9" t="str">
        <x:v>00:00:00.0334819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SmartLibrary.UnitTests.Features.Books.BookServiceTests.GetByIdAsync_WhenBookDoesNotExist_ReturnsFailure</x:v>
      </x:c>
      <x:c r="G21" s="9" t="str">
        <x:v>evidence/unit.trx :: SmartLibrary.UnitTests.Features.Books.BookServiceTests.GetByIdAsync_WhenBookExists_ReturnsSuccess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42" priority="1" operator="containsText" text="Passed"/>
    <x:cfRule type="containsText" dxfId="43" priority="2" operator="containsText" text="Failed"/>
    <x:cfRule type="containsText" dxfId="44" priority="3" operator="containsText" text="Not Test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F016 — CirculationRulesTests.BorrowDays</x:v>
      </x:c>
      <x:c r="G2" s="10"/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UT-039</x:v>
      </x:c>
      <x:c r="G9" s="5" t="str">
        <x:v>UT-040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Borrow Days — Prefers Admin Max Days</x:v>
      </x:c>
      <x:c r="G10" s="9" t="str">
        <x:v>Borrow Days — Uses Language When Max Days Unset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  <x:c r="G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CirculationRules.BorrowDays(settings, "vi").Should().Be(14);
CirculationRules.BorrowDays(settings, "en").Should().Be(14);</x:v>
      </x:c>
      <x:c r="G13" s="9" t="str">
        <x:v>CirculationRules.BorrowDays(settings, "vi").Should().Be(7);
CirculationRules.BorrowDays(settings, "en").Should().Be(14);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apps/api/tests/SmartLibrary.UnitTests/Features/Circulation/CirculationRulesTests.cs:223</x:v>
      </x:c>
      <x:c r="G14" s="9" t="str">
        <x:v>apps/api/tests/SmartLibrary.UnitTests/Features/Circulation/CirculationRulesTests.cs:231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FullyQualifiedName~CirculationRulesTests.BorrowDays_PrefersAdminMaxDays</x:v>
      </x:c>
      <x:c r="G15" s="9" t="str">
        <x:v>dotnet test UnitTests project --filter FullyQualifiedName~CirculationRulesTests.BorrowDays_UsesLanguageWhenMaxDaysUnset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00:00:00.0007224</x:v>
      </x:c>
      <x:c r="G20" s="9" t="str">
        <x:v>00:00:00.0004736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SmartLibrary.UnitTests.Features.Circulation.CirculationRulesTests.BorrowDays_PrefersAdminMaxDays</x:v>
      </x:c>
      <x:c r="G21" s="9" t="str">
        <x:v>evidence/unit.trx :: SmartLibrary.UnitTests.Features.Circulation.CirculationRulesTests.BorrowDays_UsesLanguageWhenMaxDaysUnset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45" priority="1" operator="containsText" text="Passed"/>
    <x:cfRule type="containsText" dxfId="46" priority="2" operator="containsText" text="Failed"/>
    <x:cfRule type="containsText" dxfId="47" priority="3" operator="containsText" text="Not Test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F017 — CirculationRulesTests.CalendarOverdueDays</x:v>
      </x:c>
      <x:c r="G2" s="10"/>
      <x:c r="H2" s="10"/>
      <x:c r="I2" s="10"/>
      <x:c r="J2" s="10"/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COUNTIF(F18:J18,"Passed")</x:f>
        <x:v>5</x:v>
      </x:c>
      <x:c r="B7" t="n">
        <x:f>COUNTIF(F18:J18,"Failed")</x:f>
        <x:v>0</x:v>
      </x:c>
      <x:c r="C7" t="n">
        <x:f>COUNTIF(F18:J18,"Not Tested")</x:f>
        <x:v>0</x:v>
      </x:c>
      <x:c r="D7" t="n">
        <x:f>COUNTA(F9:J9)</x:f>
        <x:v>5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UT-041</x:v>
      </x:c>
      <x:c r="G9" s="5" t="str">
        <x:v>UT-042</x:v>
      </x:c>
      <x:c r="H9" s="5" t="str">
        <x:v>UT-043</x:v>
      </x:c>
      <x:c r="I9" s="5" t="str">
        <x:v>UT-044</x:v>
      </x:c>
      <x:c r="J9" s="5" t="str">
        <x:v>UT-045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Calendar Overdue Days — Next Library Day — Is One</x:v>
      </x:c>
      <x:c r="G10" s="9" t="str">
        <x:v>Calendar Overdue Days — On Time Or Early — Is Zero</x:v>
      </x:c>
      <x:c r="H10" s="9" t="str">
        <x:v>Calendar Overdue Days — Return On Due Date — Is Zero</x:v>
      </x:c>
      <x:c r="I10" s="9" t="str">
        <x:v>Calendar Overdue Days — Uses Library Calendar Date</x:v>
      </x:c>
      <x:c r="J10" s="9" t="str">
        <x:v>Calendar Overdue Days — Vietnam Midnight Boundary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  <x:c r="G11" s="9" t="str">
        <x:v>Arrange fixture and test doubles defined in CirculationRulesTests. No live service.</x:v>
      </x:c>
      <x:c r="H11" s="9" t="str">
        <x:v>Arrange fixture and test doubles defined in CirculationRulesTests. No live service.</x:v>
      </x:c>
      <x:c r="I11" s="9" t="str">
        <x:v>Arrange fixture and test doubles defined in CirculationRulesTests. No live service.</x:v>
      </x:c>
      <x:c r="J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CirculationRules.CalendarOverdueDays(due, nextMidnight).Should().Be(1);
CirculationRules.IsPastDueOnLibraryCalendar(due, nextMidnight).Should().BeTrue();</x:v>
      </x:c>
      <x:c r="G13" s="9" t="str">
        <x:v>CirculationRules.CalendarOverdueDays(due, due).Should().Be(0);
CirculationRules.CalendarOverdueDays(due, due.AddHours(-5)).Should().Be(0);</x:v>
      </x:c>
      <x:c r="H13" s="9" t="str">
        <x:v>CirculationRules.CalendarOverdueDays(due, returnedSameDay).Should().Be(0);
CirculationRules.IsPastDueOnLibraryCalendar(due, returnedSameDay).Should().BeFalse();</x:v>
      </x:c>
      <x:c r="I13" s="9" t="str">
        <x:v>CirculationRules.CalendarOverdueDays(due, returned).Should().Be(2);</x:v>
      </x:c>
      <x:c r="J13" s="9" t="str">
        <x:v>CirculationRules.CalendarOverdueDays(dueEndOfVnDay, justAfterMidnight).Should().Be(1);
CirculationRules.IsPastDueOnLibraryCalendar(dueEndOfVnDay, dueEndOfVnDay).Should().BeFalse();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apps/api/tests/SmartLibrary.UnitTests/Features/Circulation/CirculationRulesTests.cs:36</x:v>
      </x:c>
      <x:c r="G14" s="9" t="str">
        <x:v>apps/api/tests/SmartLibrary.UnitTests/Features/Circulation/CirculationRulesTests.cs:11</x:v>
      </x:c>
      <x:c r="H14" s="9" t="str">
        <x:v>apps/api/tests/SmartLibrary.UnitTests/Features/Circulation/CirculationRulesTests.cs:27</x:v>
      </x:c>
      <x:c r="I14" s="9" t="str">
        <x:v>apps/api/tests/SmartLibrary.UnitTests/Features/Circulation/CirculationRulesTests.cs:19</x:v>
      </x:c>
      <x:c r="J14" s="9" t="str">
        <x:v>apps/api/tests/SmartLibrary.UnitTests/Features/Circulation/CirculationRulesTests.cs:45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FullyQualifiedName~CirculationRulesTests.CalendarOverdueDays_NextLibraryDay_IsOne</x:v>
      </x:c>
      <x:c r="G15" s="9" t="str">
        <x:v>dotnet test UnitTests project --filter FullyQualifiedName~CirculationRulesTests.CalendarOverdueDays_OnTimeOrEarly_IsZero</x:v>
      </x:c>
      <x:c r="H15" s="9" t="str">
        <x:v>dotnet test UnitTests project --filter FullyQualifiedName~CirculationRulesTests.CalendarOverdueDays_ReturnOnDueDate_IsZero</x:v>
      </x:c>
      <x:c r="I15" s="9" t="str">
        <x:v>dotnet test UnitTests project --filter FullyQualifiedName~CirculationRulesTests.CalendarOverdueDays_UsesLibraryCalendarDate</x:v>
      </x:c>
      <x:c r="J15" s="9" t="str">
        <x:v>dotnet test UnitTests project --filter FullyQualifiedName~CirculationRulesTests.CalendarOverdueDays_VietnamMidnightBoundary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B</x:v>
      </x:c>
      <x:c r="H17" s="9" t="str">
        <x:v>B</x:v>
      </x:c>
      <x:c r="I17" s="9" t="str">
        <x:v>N</x:v>
      </x:c>
      <x:c r="J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00:00:00.0001496</x:v>
      </x:c>
      <x:c r="G20" s="9" t="str">
        <x:v>00:00:00.0002127</x:v>
      </x:c>
      <x:c r="H20" s="9" t="str">
        <x:v>00:00:00.0002003</x:v>
      </x:c>
      <x:c r="I20" s="9" t="str">
        <x:v>00:00:00.0060957</x:v>
      </x:c>
      <x:c r="J20" s="9" t="str">
        <x:v>00:00:00.0001615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SmartLibrary.UnitTests.Features.Circulation.CirculationRulesTests.CalendarOverdueDays_NextLibraryDay_IsOne</x:v>
      </x:c>
      <x:c r="G21" s="9" t="str">
        <x:v>evidence/unit.trx :: SmartLibrary.UnitTests.Features.Circulation.CirculationRulesTests.CalendarOverdueDays_OnTimeOrEarly_IsZero</x:v>
      </x:c>
      <x:c r="H21" s="9" t="str">
        <x:v>evidence/unit.trx :: SmartLibrary.UnitTests.Features.Circulation.CirculationRulesTests.CalendarOverdueDays_ReturnOnDueDate_IsZero</x:v>
      </x:c>
      <x:c r="I21" s="9" t="str">
        <x:v>evidence/unit.trx :: SmartLibrary.UnitTests.Features.Circulation.CirculationRulesTests.CalendarOverdueDays_UsesLibraryCalendarDate</x:v>
      </x:c>
      <x:c r="J21" s="9" t="str">
        <x:v>evidence/unit.trx :: SmartLibrary.UnitTests.Features.Circulation.CirculationRulesTests.CalendarOverdueDays_VietnamMidnightBoundary</x:v>
      </x:c>
    </x:row>
  </x:sheetData>
  <x:mergeCells>
    <x:mergeCell ref="A2:E2"/>
    <x:mergeCell ref="F2:J2"/>
    <x:mergeCell ref="A3:E3"/>
    <x:mergeCell ref="F3:J3"/>
    <x:mergeCell ref="A4:E4"/>
    <x:mergeCell ref="F4:J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J18">
    <x:cfRule type="containsText" dxfId="48" priority="1" operator="containsText" text="Passed"/>
    <x:cfRule type="containsText" dxfId="49" priority="2" operator="containsText" text="Failed"/>
    <x:cfRule type="containsText" dxfId="50" priority="3" operator="containsText" text="Not Test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F018 — CirculationRulesTests.IsTextbook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UT-046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Is Textbook — Detects Vietnamese Category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CirculationRules.IsTextbook(["Công nghệ", "Giáo trình kỳ 1"]).Should().BeTrue();
CirculationRules.IsTextbook(["Tiểu thuyết"]).Should().BeFalse();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apps/api/tests/SmartLibrary.UnitTests/Features/Circulation/CirculationRulesTests.cs:239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FullyQualifiedName~CirculationRulesTests.IsTextbook_DetectsVietnameseCategory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00:00:00.0010046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SmartLibrary.UnitTests.Features.Circulation.CirculationRulesTests.IsTextbook_DetectsVietnameseCategory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51" priority="1" operator="containsText" text="Passed"/>
    <x:cfRule type="containsText" dxfId="52" priority="2" operator="containsText" text="Failed"/>
    <x:cfRule type="containsText" dxfId="53" priority="3" operator="containsText" text="Not Test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F019 — CirculationRulesTests.IsUnexpiredReadyHold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UT-047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Is Unexpired Ready Hold — Ignores Expired Pickup Window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CirculationRules.IsUnexpiredReadyHold("ready", now.AddMinutes(-1), now).Should().BeFalse();
CirculationRules.IsUnexpiredReadyHold("ready", now.AddMinutes(1), now).Should().BeTrue();
CirculationRules.IsUnexpiredReadyHold("pending", now.AddMinutes(1), now).Should().BeFalse();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apps/api/tests/SmartLibrary.UnitTests/Features/Circulation/CirculationRulesTests.cs:102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FullyQualifiedName~CirculationRulesTests.IsUnexpiredReadyHold_IgnoresExpiredPickupWindow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00:00:00.0003879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SmartLibrary.UnitTests.Features.Circulation.CirculationRulesTests.IsUnexpiredReadyHold_IgnoresExpiredPickupWindow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54" priority="1" operator="containsText" text="Passed"/>
    <x:cfRule type="containsText" dxfId="55" priority="2" operator="containsText" text="Failed"/>
    <x:cfRule type="containsText" dxfId="56" priority="3" operator="containsText" text="Not Test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F020 — CirculationRulesTests.MaxBooksFor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UT-048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Max Books For — Uses Group Then Fallback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CirculationRules.MaxBooksFor(settings, ReaderType.Student).Should().Be(10);
CirculationRules.MaxBooksFor(settings, ReaderType.Lecturer).Should().Be(20);
CirculationRules.MaxBooksFor(settings, ReaderType.External).Should().Be(10);
CirculationRules.MaxBooksFor(new CirculationSettings { MaxBooks = 5 }, ReaderType.Lecturer).Should().Be(5);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apps/api/tests/SmartLibrary.UnitTests/Features/Circulation/CirculationRulesTests.cs:213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FullyQualifiedName~CirculationRulesTests.MaxBooksFor_UsesGroupThenFallback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00:00:00.0047487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SmartLibrary.UnitTests.Features.Circulation.CirculationRulesTests.MaxBooksFor_UsesGroupThenFallback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57" priority="1" operator="containsText" text="Passed"/>
    <x:cfRule type="containsText" dxfId="58" priority="2" operator="containsText" text="Failed"/>
    <x:cfRule type="containsText" dxfId="59" priority="3" operator="containsText" text="Not Test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F021 — CirculationRulesTests.OccupiesCopy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UT-049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Occupies Copy — Excludes Pending Requests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CirculationRules.OccupiesCopy(BorrowStatus.Pending).Should().BeTrue();
CirculationRules.OccupiesCopy(BorrowStatus.Rejected).Should().BeFalse();
CirculationRules.OccupiesCopy(BorrowStatus.Returned).Should().BeFalse();
CirculationRules.OccupiesCopy(BorrowStatus.Borrowed).Should().BeTrue();
CirculationRules.OccupiesCopy(BorrowStatus.Overdue).Should().BeTrue();
CirculationRules.OccupiesCopy(BorrowStatus.Approved).Should().BeTrue();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apps/api/tests/SmartLibrary.UnitTests/Features/Circulation/CirculationRulesTests.cs:72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FullyQualifiedName~CirculationRulesTests.OccupiesCopy_ExcludesPendingRequests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00:00:00.0002784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SmartLibrary.UnitTests.Features.Circulation.CirculationRulesTests.OccupiesCopy_ExcludesPendingRequests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60" priority="1" operator="containsText" text="Passed"/>
    <x:cfRule type="containsText" dxfId="61" priority="2" operator="containsText" text="Failed"/>
    <x:cfRule type="containsText" dxfId="62" priority="3" operator="containsText" text="Not Teste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F022 — CirculationRulesTests.OverdueFineAmount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Overdue Fine Amount — Requires Positive Days And Rate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CirculationRules.OverdueFineAmount(0, 5000).Should().Be(0);
CirculationRules.OverdueFineAmount(3, 0).Should().Be(0);
CirculationRules.OverdueFineAmount(3, 5000).Should().Be(15000);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apps/api/tests/SmartLibrary.UnitTests/Features/Circulation/CirculationRulesTests.cs:111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FullyQualifiedName~CirculationRulesTests.OverdueFineAmount_RequiresPositiveDaysAndRate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00:00:00.0018407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SmartLibrary.UnitTests.Features.Circulation.CirculationRulesTests.OverdueFineAmount_RequiresPositiveDaysAndRate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63" priority="1" operator="containsText" text="Passed"/>
    <x:cfRule type="containsText" dxfId="64" priority="2" operator="containsText" text="Failed"/>
    <x:cfRule type="containsText" dxfId="65" priority="3" operator="containsText" text="Not Teste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F023 — CirculationRulesTests.PickupSlots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Pickup Slots — Uses Library Hours And Excludes Sunday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localSlots.Should().NotBeEmpty();
localSlots.Should().OnlyContain(slot =&gt; slot.DayOfWeek != DayOfWeek.Sunday);
localSlots.Should().OnlyContain(slot =&gt; (slot.Minute == 0 || slot.Minute == 30) &amp;&amp; slot.Second == 0);
.Should().OnlyContain(slot =&gt; slot.Hour &gt;= 9 &amp;&amp; (slot.Hour &lt; 15));
.Should().OnlyContain(slot =&gt; slot.Hour &gt;= 9 &amp;&amp; slot.Hour &lt; 17);
slots.Should().OnlyContain(slot =&gt; slot.Capacity == 3 &amp;&amp; slot.RemainingCapacity == 3);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apps/api/tests/SmartLibrary.UnitTests/Features/Circulation/CirculationRulesTests.cs:83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FullyQualifiedName~CirculationRulesTests.PickupSlots_UsesLibraryHoursAndExcludesSunday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00:00:00.0476619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SmartLibrary.UnitTests.Features.Circulation.CirculationRulesTests.PickupSlots_UsesLibraryHoursAndExcludesSunday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66" priority="1" operator="containsText" text="Passed"/>
    <x:cfRule type="containsText" dxfId="67" priority="2" operator="containsText" text="Failed"/>
    <x:cfRule type="containsText" dxfId="68" priority="3" operator="containsText" text="Not Teste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F024 — CirculationRulesTests.StartOfLibraryDateUtc</x:v>
      </x:c>
      <x:c r="G2" s="10"/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UT-052</x:v>
      </x:c>
      <x:c r="G9" s="5" t="str">
        <x:v>UT-053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Start Of Library Date Utc — For Selected Date Uses Vietnam Midnight</x:v>
      </x:c>
      <x:c r="G10" s="9" t="str">
        <x:v>Start Of Library Date Utc — Matches Vietnam Midnight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  <x:c r="G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.Should().Be(new DateTime(2026, 10, 23, 17, 0, 0, DateTimeKind.Utc));</x:v>
      </x:c>
      <x:c r="G13" s="9" t="str">
        <x:v>.Should().Be(new DateTime(2026, 10, 21, 17, 0, 0, DateTimeKind.Utc));
(dueSameVnDay &lt; CirculationRules.StartOfLibraryDateUtc(duringVnMorning)).Should().BeFalse();
CirculationRules.IsPastDueOnLibraryCalendar(dueSameVnDay, duringVnMorning).Should().BeFalse();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apps/api/tests/SmartLibrary.UnitTests/Features/Circulation/CirculationRulesTests.cs:65</x:v>
      </x:c>
      <x:c r="G14" s="9" t="str">
        <x:v>apps/api/tests/SmartLibrary.UnitTests/Features/Circulation/CirculationRulesTests.cs:54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FullyQualifiedName~CirculationRulesTests.StartOfLibraryDateUtc_ForSelectedDateUsesVietnamMidnight</x:v>
      </x:c>
      <x:c r="G15" s="9" t="str">
        <x:v>dotnet test UnitTests project --filter FullyQualifiedName~CirculationRulesTests.StartOfLibraryDateUtc_MatchesVietnamMidnight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  <x:c r="G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00:00:00.0002215</x:v>
      </x:c>
      <x:c r="G20" s="9" t="str">
        <x:v>00:00:00.0039679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SmartLibrary.UnitTests.Features.Circulation.CirculationRulesTests.StartOfLibraryDateUtc_ForSelectedDateUsesVietnamMidnight</x:v>
      </x:c>
      <x:c r="G21" s="9" t="str">
        <x:v>evidence/unit.trx :: SmartLibrary.UnitTests.Features.Circulation.CirculationRulesTests.StartOfLibraryDateUtc_MatchesVietnamMidnight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69" priority="1" operator="containsText" text="Passed"/>
    <x:cfRule type="containsText" dxfId="70" priority="2" operator="containsText" text="Failed"/>
    <x:cfRule type="containsText" dxfId="71" priority="3" operator="containsText" text="Not Teste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F025 — CirculationRulesTests.ValidateBorrower</x:v>
      </x:c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Validate Borrower — Blocks Suspended And Expired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.Should().NotBeNull();
.Should().NotBeNull();
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apps/api/tests/SmartLibrary.UnitTests/Features/Circulation/CirculationRulesTests.cs:119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FullyQualifiedName~CirculationRulesTests.ValidateBorrower_BlocksSuspendedAndExpired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00:00:00.0006202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SmartLibrary.UnitTests.Features.Circulation.CirculationRulesTests.ValidateBorrower_BlocksSuspendedAndExpired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72" priority="1" operator="containsText" text="Passed"/>
    <x:cfRule type="containsText" dxfId="73" priority="2" operator="containsText" text="Failed"/>
    <x:cfRule type="containsText" dxfId="74" priority="3" operator="containsText" text="Not Teste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F026 — CirculationRulesTests.ValidateIncidentConfirmation</x:v>
      </x:c>
      <x:c r="G2" s="10"/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UT-055</x:v>
      </x:c>
      <x:c r="G9" s="5" t="str">
        <x:v>UT-056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Validate Incident Confirmation — Light Damage Uses Admin Fee</x:v>
      </x:c>
      <x:c r="G10" s="9" t="str">
        <x:v>Validate Incident Confirmation — Lost Needs Policy Fee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  <x:c r="G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.Should().Contain("damage_fee");
.Should().BeNull();
.Should().Be(10000);
.Should().Be(200000);</x:v>
      </x:c>
      <x:c r="G13" s="9" t="str">
        <x:v>.Should().Contain("lost_book_fee");
.Should().Contain("thất lạc");
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apps/api/tests/SmartLibrary.UnitTests/Features/Circulation/CirculationRulesTests.cs:260</x:v>
      </x:c>
      <x:c r="G14" s="9" t="str">
        <x:v>apps/api/tests/SmartLibrary.UnitTests/Features/Circulation/CirculationRulesTests.cs:246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FullyQualifiedName~CirculationRulesTests.ValidateIncidentConfirmation_LightDamageUsesAdminFee</x:v>
      </x:c>
      <x:c r="G15" s="9" t="str">
        <x:v>dotnet test UnitTests project --filter FullyQualifiedName~CirculationRulesTests.ValidateIncidentConfirmation_LostNeedsPolicyFee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00:00:00.0007419</x:v>
      </x:c>
      <x:c r="G20" s="9" t="str">
        <x:v>00:00:00.0002159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SmartLibrary.UnitTests.Features.Circulation.CirculationRulesTests.ValidateIncidentConfirmation_LightDamageUsesAdminFee</x:v>
      </x:c>
      <x:c r="G21" s="9" t="str">
        <x:v>evidence/unit.trx :: SmartLibrary.UnitTests.Features.Circulation.CirculationRulesTests.ValidateIncidentConfirmation_LostNeedsPolicyFee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75" priority="1" operator="containsText" text="Passed"/>
    <x:cfRule type="containsText" dxfId="76" priority="2" operator="containsText" text="Failed"/>
    <x:cfRule type="containsText" dxfId="77" priority="3" operator="containsText" text="Not Teste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F027 — CirculationRulesTests.ValidateRenewal</x:v>
      </x:c>
      <x:c r="G2" s="10"/>
      <x:c r="H2" s="10"/>
      <x:c r="I2" s="10"/>
    </x:row>
    <x:row r="3">
      <x:c r="A3" t="str">
        <x:v>Source class</x:v>
      </x:c>
      <x:c r="F3" t="str">
        <x:v>CirculationRulesTests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UT-057</x:v>
      </x:c>
      <x:c r="G9" s="5" t="str">
        <x:v>UT-058</x:v>
      </x:c>
      <x:c r="H9" s="5" t="str">
        <x:v>UT-059</x:v>
      </x:c>
      <x:c r="I9" s="5" t="str">
        <x:v>UT-060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Validate Renewal — Applies Reader Specific Limit Overdue Reservation And Textbook Rules</x:v>
      </x:c>
      <x:c r="G10" s="9" t="str">
        <x:v>Validate Renewal — Blocks Reader With Unpaid Fine Only When Policy Requires It</x:v>
      </x:c>
      <x:c r="H10" s="9" t="str">
        <x:v>Validate Renewal — Does Not Block Reservation Unless Configured</x:v>
      </x:c>
      <x:c r="I10" s="9" t="str">
        <x:v>Validate Renewal — Respects Max Count And Window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CirculationRulesTests. No live service.</x:v>
      </x:c>
      <x:c r="G11" s="9" t="str">
        <x:v>Arrange fixture and test doubles defined in CirculationRulesTests. No live service.</x:v>
      </x:c>
      <x:c r="H11" s="9" t="str">
        <x:v>Arrange fixture and test doubles defined in CirculationRulesTests. No live service.</x:v>
      </x:c>
      <x:c r="I11" s="9" t="str">
        <x:v>Arrange fixture and test doubles defined in CirculationRulesTests.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.Should().Contain("hết số lần");
.Should().Contain("quá hạn");
.Should().Contain("đặt trước");
.Should().Contain("Giáo trình");</x:v>
      </x:c>
      <x:c r="G13" s="9" t="str">
        <x:v>.Should().Contain("phí chưa thanh toán");
.Should().BeNull();
.Should().BeNull();</x:v>
      </x:c>
      <x:c r="H13" s="9" t="str">
        <x:v>.Should().BeNull();
.Should().Contain("đặt trước");</x:v>
      </x:c>
      <x:c r="I13" s="9" t="str">
        <x:v>.Should().Contain("hết số lần");
.Should().Contain("cửa sổ");
.Should().BeNull();
.Should().Contain("quá hạn");
.Should().Contain("Giáo trình");
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apps/api/tests/SmartLibrary.UnitTests/Features/Circulation/CirculationRulesTests.cs:189</x:v>
      </x:c>
      <x:c r="G14" s="9" t="str">
        <x:v>apps/api/tests/SmartLibrary.UnitTests/Features/Circulation/CirculationRulesTests.cs:168</x:v>
      </x:c>
      <x:c r="H14" s="9" t="str">
        <x:v>apps/api/tests/SmartLibrary.UnitTests/Features/Circulation/CirculationRulesTests.cs:157</x:v>
      </x:c>
      <x:c r="I14" s="9" t="str">
        <x:v>apps/api/tests/SmartLibrary.UnitTests/Features/Circulation/CirculationRulesTests.cs:130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FullyQualifiedName~CirculationRulesTests.ValidateRenewal_AppliesReaderSpecificLimitOverdueReservationAndTextbookRules</x:v>
      </x:c>
      <x:c r="G15" s="9" t="str">
        <x:v>dotnet test UnitTests project --filter FullyQualifiedName~CirculationRulesTests.ValidateRenewal_BlocksReaderWithUnpaidFineOnlyWhenPolicyRequiresIt</x:v>
      </x:c>
      <x:c r="H15" s="9" t="str">
        <x:v>dotnet test UnitTests project --filter FullyQualifiedName~CirculationRulesTests.ValidateRenewal_DoesNotBlockReservationUnlessConfigured</x:v>
      </x:c>
      <x:c r="I15" s="9" t="str">
        <x:v>dotnet test UnitTests project --filter FullyQualifiedName~CirculationRulesTests.ValidateRenewal_RespectsMaxCountAndWindow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  <x:c r="G17" s="9" t="str">
        <x:v>N</x:v>
      </x:c>
      <x:c r="H17" s="9" t="str">
        <x:v>N</x:v>
      </x:c>
      <x:c r="I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00:00:00.0634993</x:v>
      </x:c>
      <x:c r="G20" s="9" t="str">
        <x:v>00:00:00.0005837</x:v>
      </x:c>
      <x:c r="H20" s="9" t="str">
        <x:v>00:00:00.0002314</x:v>
      </x:c>
      <x:c r="I20" s="9" t="str">
        <x:v>00:00:00.0008750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SmartLibrary.UnitTests.Features.Circulation.CirculationRulesTests.ValidateRenewal_AppliesReaderSpecificLimitOverdueReservationAndTextbookRules</x:v>
      </x:c>
      <x:c r="G21" s="9" t="str">
        <x:v>evidence/unit.trx :: SmartLibrary.UnitTests.Features.Circulation.CirculationRulesTests.ValidateRenewal_BlocksReaderWithUnpaidFineOnlyWhenPolicyRequiresIt</x:v>
      </x:c>
      <x:c r="H21" s="9" t="str">
        <x:v>evidence/unit.trx :: SmartLibrary.UnitTests.Features.Circulation.CirculationRulesTests.ValidateRenewal_DoesNotBlockReservationUnlessConfigured</x:v>
      </x:c>
      <x:c r="I21" s="9" t="str">
        <x:v>evidence/unit.trx :: SmartLibrary.UnitTests.Features.Circulation.CirculationRulesTests.ValidateRenewal_RespectsMaxCountAndWindow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78" priority="1" operator="containsText" text="Passed"/>
    <x:cfRule type="containsText" dxfId="79" priority="2" operator="containsText" text="Failed"/>
    <x:cfRule type="containsText" dxfId="80" priority="3" operator="containsText" text="Not Tested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F028 — CirculationServiceTests.Approve</x:v>
      </x:c>
      <x:c r="G2" s="10"/>
      <x:c r="H2" s="10"/>
      <x:c r="I2" s="10"/>
      <x:c r="J2" s="10"/>
      <x:c r="K2" s="10"/>
      <x:c r="L2" s="10"/>
      <x:c r="M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COUNTIF(F18:M18,"Passed")</x:f>
        <x:v>8</x:v>
      </x:c>
      <x:c r="B7" t="n">
        <x:f>COUNTIF(F18:M18,"Failed")</x:f>
        <x:v>0</x:v>
      </x:c>
      <x:c r="C7" t="n">
        <x:f>COUNTIF(F18:M18,"Not Tested")</x:f>
        <x:v>0</x:v>
      </x:c>
      <x:c r="D7" t="n">
        <x:f>COUNTA(F9:M9)</x:f>
        <x:v>8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UT-061</x:v>
      </x:c>
      <x:c r="G9" s="5" t="str">
        <x:v>UT-062</x:v>
      </x:c>
      <x:c r="H9" s="5" t="str">
        <x:v>UT-063</x:v>
      </x:c>
      <x:c r="I9" s="5" t="str">
        <x:v>UT-064</x:v>
      </x:c>
      <x:c r="J9" s="5" t="str">
        <x:v>UT-065</x:v>
      </x:c>
      <x:c r="K9" s="5" t="str">
        <x:v>UT-066</x:v>
      </x:c>
      <x:c r="L9" s="5" t="str">
        <x:v>UT-067</x:v>
      </x:c>
      <x:c r="M9" s="5" t="str">
        <x:v>UT-068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Approve — When Claim Fails — Leaves Request Pending</x:v>
      </x:c>
      <x:c r="G10" s="9" t="str">
        <x:v>Approve — When Copy Already Borrowed — Does Not Mark Borrowed</x:v>
      </x:c>
      <x:c r="H10" s="9" t="str">
        <x:v>Approve — When Copy Already Held For This Request — Does Not Claim Again</x:v>
      </x:c>
      <x:c r="I10" s="9" t="str">
        <x:v>Approve — When Copy Damaged Or Lost — Does Not Mark Borrowed</x:v>
      </x:c>
      <x:c r="J10" s="9" t="str">
        <x:v>Approve — When Copy Valid — Claims And Marks Borrowed</x:v>
      </x:c>
      <x:c r="K10" s="9" t="str">
        <x:v>Approve — When Held For Another Reader — Does Not Mark Borrowed</x:v>
      </x:c>
      <x:c r="L10" s="9" t="str">
        <x:v>Approve — When Hold Expired — Allows Claim</x:v>
      </x:c>
      <x:c r="M10" s="9" t="str">
        <x:v>Approve — When Two Claims Race — Only One Succeeds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  <x:c r="I11" s="9" t="str">
        <x:v>Arrange fixture and test doubles defined in CirculationServiceTests. No live service.</x:v>
      </x:c>
      <x:c r="J11" s="9" t="str">
        <x:v>Arrange fixture and test doubles defined in CirculationServiceTests. No live service.</x:v>
      </x:c>
      <x:c r="K11" s="9" t="str">
        <x:v>Arrange fixture and test doubles defined in CirculationServiceTests. No live service.</x:v>
      </x:c>
      <x:c r="L11" s="9" t="str">
        <x:v>Arrange fixture and test doubles defined in CirculationServiceTests. No live service.</x:v>
      </x:c>
      <x:c r="M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  <x:c r="L12" s="9" t="str">
        <x:v>Fixed Arrange fixture in source; no theory arguments.</x:v>
      </x:c>
      <x:c r="M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result.Error.Should().Contain("không còn sẵn sàng");
loan.Status.Should().Be(BorrowStatus.Pending);
loan.BorrowDate.Should().BeNull();</x:v>
      </x:c>
      <x:c r="G13" s="9" t="str">
        <x:v>result.IsSuccess.Should().BeFalse();
result.Error.Should().Contain("không sẵn sàng");
loan.Status.Should().Be(BorrowStatus.Pending);</x:v>
      </x:c>
      <x:c r="H13" s="9" t="str">
        <x:v>result.IsSuccess.Should().BeTrue();
loan.Status.Should().Be(BorrowStatus.Approved);</x:v>
      </x:c>
      <x:c r="I13" s="9" t="str">
        <x:v>result.IsSuccess.Should().BeFalse();
result.Error.Should().Contain("thất lạc");
loan.Status.Should().Be(BorrowStatus.Pending);</x:v>
      </x:c>
      <x:c r="J13" s="9" t="str">
        <x:v>result.IsSuccess.Should().BeTrue();
loan.Status.Should().Be(BorrowStatus.Approved);
loan.BorrowDate.Should().BeNull();
loan.AcceptedAt.Should().NotBeNull();</x:v>
      </x:c>
      <x:c r="K13" s="9" t="str">
        <x:v>result.IsSuccess.Should().BeFalse();
result.Error.Should().Contain("phân cho phiếu khác");
loan.Status.Should().Be(BorrowStatus.Pending);</x:v>
      </x:c>
      <x:c r="L13" s="9" t="str">
        <x:v>result.IsSuccess.Should().BeTrue();</x:v>
      </x:c>
      <x:c r="M13" s="9" t="str">
        <x:v>results.Count(x =&gt; x.IsSuccess).Should().Be(1);
results.Count(x =&gt; !x.IsSuccess).Should().Be(1);
results.Single(x =&gt; !x.IsSuccess).Error.Should().Contain("không còn sẵn sàng");
claimed.Should().Be(2);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apps/api/tests/SmartLibrary.UnitTests/Features/Circulation/CirculationServiceTests.cs:1149</x:v>
      </x:c>
      <x:c r="G14" s="9" t="str">
        <x:v>apps/api/tests/SmartLibrary.UnitTests/Features/Circulation/CirculationServiceTests.cs:1086</x:v>
      </x:c>
      <x:c r="H14" s="9" t="str">
        <x:v>apps/api/tests/SmartLibrary.UnitTests/Features/Circulation/CirculationServiceTests.cs:1134</x:v>
      </x:c>
      <x:c r="I14" s="9" t="str">
        <x:v>apps/api/tests/SmartLibrary.UnitTests/Features/Circulation/CirculationServiceTests.cs:1118</x:v>
      </x:c>
      <x:c r="J14" s="9" t="str">
        <x:v>apps/api/tests/SmartLibrary.UnitTests/Features/Circulation/CirculationServiceTests.cs:1067</x:v>
      </x:c>
      <x:c r="K14" s="9" t="str">
        <x:v>apps/api/tests/SmartLibrary.UnitTests/Features/Circulation/CirculationServiceTests.cs:1102</x:v>
      </x:c>
      <x:c r="L14" s="9" t="str">
        <x:v>apps/api/tests/SmartLibrary.UnitTests/Features/Circulation/CirculationServiceTests.cs:1164</x:v>
      </x:c>
      <x:c r="M14" s="9" t="str">
        <x:v>apps/api/tests/SmartLibrary.UnitTests/Features/Circulation/CirculationServiceTests.cs:1197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FullyQualifiedName~CirculationServiceTests.Approve_WhenClaimFails_LeavesRequestPending</x:v>
      </x:c>
      <x:c r="G15" s="9" t="str">
        <x:v>dotnet test UnitTests project --filter FullyQualifiedName~CirculationServiceTests.Approve_WhenCopyAlreadyBorrowed_DoesNotMarkBorrowed</x:v>
      </x:c>
      <x:c r="H15" s="9" t="str">
        <x:v>dotnet test UnitTests project --filter FullyQualifiedName~CirculationServiceTests.Approve_WhenCopyAlreadyHeldForThisRequest_DoesNotClaimAgain</x:v>
      </x:c>
      <x:c r="I15" s="9" t="str">
        <x:v>dotnet test UnitTests project --filter FullyQualifiedName~CirculationServiceTests.Approve_WhenCopyDamagedOrLost_DoesNotMarkBorrowed</x:v>
      </x:c>
      <x:c r="J15" s="9" t="str">
        <x:v>dotnet test UnitTests project --filter FullyQualifiedName~CirculationServiceTests.Approve_WhenCopyValid_ClaimsAndMarksBorrowed</x:v>
      </x:c>
      <x:c r="K15" s="9" t="str">
        <x:v>dotnet test UnitTests project --filter FullyQualifiedName~CirculationServiceTests.Approve_WhenHeldForAnotherReader_DoesNotMarkBorrowed</x:v>
      </x:c>
      <x:c r="L15" s="9" t="str">
        <x:v>dotnet test UnitTests project --filter FullyQualifiedName~CirculationServiceTests.Approve_WhenHoldExpired_AllowsClaim</x:v>
      </x:c>
      <x:c r="M15" s="9" t="str">
        <x:v>dotnet test UnitTests project --filter FullyQualifiedName~CirculationServiceTests.Approve_WhenTwoClaimsRace_OnlyOneSucceeds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  <x:c r="L16" s="9" t="str">
        <x:v>No test failure logged; expected exceptions are asserted in source.</x:v>
      </x:c>
      <x:c r="M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N</x:v>
      </x:c>
      <x:c r="H17" s="9" t="str">
        <x:v>N</x:v>
      </x:c>
      <x:c r="I17" s="9" t="str">
        <x:v>N</x:v>
      </x:c>
      <x:c r="J17" s="9" t="str">
        <x:v>N</x:v>
      </x:c>
      <x:c r="K17" s="9" t="str">
        <x:v>N</x:v>
      </x:c>
      <x:c r="L17" s="9" t="str">
        <x:v>B</x:v>
      </x:c>
      <x:c r="M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  <x:c r="L18" s="9" t="str">
        <x:v>Passed</x:v>
      </x:c>
      <x:c r="M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  <x:c r="L19" s="9" t="str">
        <x:v>2026-10-27</x:v>
      </x:c>
      <x:c r="M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00:00:00.0128139</x:v>
      </x:c>
      <x:c r="G20" s="9" t="str">
        <x:v>00:00:00.0181328</x:v>
      </x:c>
      <x:c r="H20" s="9" t="str">
        <x:v>00:00:00.0271052</x:v>
      </x:c>
      <x:c r="I20" s="9" t="str">
        <x:v>00:00:00.0227066</x:v>
      </x:c>
      <x:c r="J20" s="9" t="str">
        <x:v>00:00:00.0203266</x:v>
      </x:c>
      <x:c r="K20" s="9" t="str">
        <x:v>00:00:00.0157655</x:v>
      </x:c>
      <x:c r="L20" s="9" t="str">
        <x:v>00:00:00.0289462</x:v>
      </x:c>
      <x:c r="M20" s="9" t="str">
        <x:v>00:00:00.0430104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SmartLibrary.UnitTests.Features.Circulation.CirculationServiceTests.Approve_WhenClaimFails_LeavesRequestPending</x:v>
      </x:c>
      <x:c r="G21" s="9" t="str">
        <x:v>evidence/unit.trx :: SmartLibrary.UnitTests.Features.Circulation.CirculationServiceTests.Approve_WhenCopyAlreadyBorrowed_DoesNotMarkBorrowed</x:v>
      </x:c>
      <x:c r="H21" s="9" t="str">
        <x:v>evidence/unit.trx :: SmartLibrary.UnitTests.Features.Circulation.CirculationServiceTests.Approve_WhenCopyAlreadyHeldForThisRequest_DoesNotClaimAgain</x:v>
      </x:c>
      <x:c r="I21" s="9" t="str">
        <x:v>evidence/unit.trx :: SmartLibrary.UnitTests.Features.Circulation.CirculationServiceTests.Approve_WhenCopyDamagedOrLost_DoesNotMarkBorrowed</x:v>
      </x:c>
      <x:c r="J21" s="9" t="str">
        <x:v>evidence/unit.trx :: SmartLibrary.UnitTests.Features.Circulation.CirculationServiceTests.Approve_WhenCopyValid_ClaimsAndMarksBorrowed</x:v>
      </x:c>
      <x:c r="K21" s="9" t="str">
        <x:v>evidence/unit.trx :: SmartLibrary.UnitTests.Features.Circulation.CirculationServiceTests.Approve_WhenHeldForAnotherReader_DoesNotMarkBorrowed</x:v>
      </x:c>
      <x:c r="L21" s="9" t="str">
        <x:v>evidence/unit.trx :: SmartLibrary.UnitTests.Features.Circulation.CirculationServiceTests.Approve_WhenHoldExpired_AllowsClaim</x:v>
      </x:c>
      <x:c r="M21" s="9" t="str">
        <x:v>evidence/unit.trx :: SmartLibrary.UnitTests.Features.Circulation.CirculationServiceTests.Approve_WhenTwoClaimsRace_OnlyOneSucceeds</x:v>
      </x:c>
    </x:row>
  </x:sheetData>
  <x:mergeCells>
    <x:mergeCell ref="A2:E2"/>
    <x:mergeCell ref="F2:M2"/>
    <x:mergeCell ref="A3:E3"/>
    <x:mergeCell ref="F3:M3"/>
    <x:mergeCell ref="A4:E4"/>
    <x:mergeCell ref="F4:M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M18">
    <x:cfRule type="containsText" dxfId="81" priority="1" operator="containsText" text="Passed"/>
    <x:cfRule type="containsText" dxfId="82" priority="2" operator="containsText" text="Failed"/>
    <x:cfRule type="containsText" dxfId="83" priority="3" operator="containsText" text="Not Teste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F029 — CirculationServiceTests.Checkout</x:v>
      </x:c>
      <x:c r="G2" s="10"/>
      <x:c r="H2" s="10"/>
      <x:c r="I2" s="10"/>
      <x:c r="J2" s="10"/>
      <x:c r="K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COUNTIF(F18:K18,"Passed")</x:f>
        <x:v>6</x:v>
      </x:c>
      <x:c r="B7" t="n">
        <x:f>COUNTIF(F18:K18,"Failed")</x:f>
        <x:v>0</x:v>
      </x:c>
      <x:c r="C7" t="n">
        <x:f>COUNTIF(F18:K18,"Not Tested")</x:f>
        <x:v>0</x:v>
      </x:c>
      <x:c r="D7" t="n">
        <x:f>COUNTA(F9:K9)</x:f>
        <x:v>6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UT-069</x:v>
      </x:c>
      <x:c r="G9" s="5" t="str">
        <x:v>UT-070</x:v>
      </x:c>
      <x:c r="H9" s="5" t="str">
        <x:v>UT-071</x:v>
      </x:c>
      <x:c r="I9" s="5" t="str">
        <x:v>UT-072</x:v>
      </x:c>
      <x:c r="J9" s="5" t="str">
        <x:v>UT-073</x:v>
      </x:c>
      <x:c r="K9" s="5" t="str">
        <x:v>UT-074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Checkout — Expires Holds Before Checking Copy</x:v>
      </x:c>
      <x:c r="G10" s="9" t="str">
        <x:v>Checkout — When Copy Unavailable — Fails</x:v>
      </x:c>
      <x:c r="H10" s="9" t="str">
        <x:v>Checkout — When Hold Expired — Does Not Block Walk In</x:v>
      </x:c>
      <x:c r="I10" s="9" t="str">
        <x:v>Checkout — When Ready Hold Consumes Last Copy — Blocks Other Reader</x:v>
      </x:c>
      <x:c r="J10" s="9" t="str">
        <x:v>Checkout — When Two Claims Race — Fails Second</x:v>
      </x:c>
      <x:c r="K10" s="9" t="str">
        <x:v>Checkout — When Unpaid Fines — Blocks Borrow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  <x:c r="I11" s="9" t="str">
        <x:v>Arrange fixture and test doubles defined in CirculationServiceTests. No live service.</x:v>
      </x:c>
      <x:c r="J11" s="9" t="str">
        <x:v>Arrange fixture and test doubles defined in CirculationServiceTests. No live service.</x:v>
      </x:c>
      <x:c r="K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order.Should().Equal("expire", "ready");</x:v>
      </x:c>
      <x:c r="G13" s="9" t="str">
        <x:v>result.IsSuccess.Should().BeFalse();
result.Error.Should().Contain("không sẵn sàng");</x:v>
      </x:c>
      <x:c r="H13" s="9" t="str">
        <x:v>result.IsSuccess.Should().BeTrue();</x:v>
      </x:c>
      <x:c r="I13" s="9" t="str">
        <x:v>result.IsSuccess.Should().BeFalse();
result.Error.Should().Contain("đặt trước");</x:v>
      </x:c>
      <x:c r="J13" s="9" t="str">
        <x:v>result.IsSuccess.Should().BeFalse();
result.Error.Should().Contain("người khác mượn");</x:v>
      </x:c>
      <x:c r="K13" s="9" t="str">
        <x:v>result.IsSuccess.Should().BeFalse();
result.Error.Should().Contain("phí chưa thanh toán");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apps/api/tests/SmartLibrary.UnitTests/Features/Circulation/CirculationServiceTests.cs:1023</x:v>
      </x:c>
      <x:c r="G14" s="9" t="str">
        <x:v>apps/api/tests/SmartLibrary.UnitTests/Features/Circulation/CirculationServiceTests.cs:129</x:v>
      </x:c>
      <x:c r="H14" s="9" t="str">
        <x:v>apps/api/tests/SmartLibrary.UnitTests/Features/Circulation/CirculationServiceTests.cs:1048</x:v>
      </x:c>
      <x:c r="I14" s="9" t="str">
        <x:v>apps/api/tests/SmartLibrary.UnitTests/Features/Circulation/CirculationServiceTests.cs:474</x:v>
      </x:c>
      <x:c r="J14" s="9" t="str">
        <x:v>apps/api/tests/SmartLibrary.UnitTests/Features/Circulation/CirculationServiceTests.cs:145</x:v>
      </x:c>
      <x:c r="K14" s="9" t="str">
        <x:v>apps/api/tests/SmartLibrary.UnitTests/Features/Circulation/CirculationServiceTests.cs:162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FullyQualifiedName~CirculationServiceTests.Checkout_ExpiresHoldsBeforeCheckingCopy</x:v>
      </x:c>
      <x:c r="G15" s="9" t="str">
        <x:v>dotnet test UnitTests project --filter FullyQualifiedName~CirculationServiceTests.Checkout_WhenCopyUnavailable_Fails</x:v>
      </x:c>
      <x:c r="H15" s="9" t="str">
        <x:v>dotnet test UnitTests project --filter FullyQualifiedName~CirculationServiceTests.Checkout_WhenHoldExpired_DoesNotBlockWalkIn</x:v>
      </x:c>
      <x:c r="I15" s="9" t="str">
        <x:v>dotnet test UnitTests project --filter FullyQualifiedName~CirculationServiceTests.Checkout_WhenReadyHoldConsumesLastCopy_BlocksOtherReader</x:v>
      </x:c>
      <x:c r="J15" s="9" t="str">
        <x:v>dotnet test UnitTests project --filter FullyQualifiedName~CirculationServiceTests.Checkout_WhenTwoClaimsRace_FailsSecond</x:v>
      </x:c>
      <x:c r="K15" s="9" t="str">
        <x:v>dotnet test UnitTests project --filter FullyQualifiedName~CirculationServiceTests.Checkout_WhenUnpaidFines_BlocksBorrow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  <x:c r="H17" s="9" t="str">
        <x:v>B</x:v>
      </x:c>
      <x:c r="I17" s="9" t="str">
        <x:v>N</x:v>
      </x:c>
      <x:c r="J17" s="9" t="str">
        <x:v>A</x:v>
      </x:c>
      <x:c r="K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00:00:00.0429402</x:v>
      </x:c>
      <x:c r="G20" s="9" t="str">
        <x:v>00:00:00.0128241</x:v>
      </x:c>
      <x:c r="H20" s="9" t="str">
        <x:v>00:00:00.0250664</x:v>
      </x:c>
      <x:c r="I20" s="9" t="str">
        <x:v>00:00:00.0190361</x:v>
      </x:c>
      <x:c r="J20" s="9" t="str">
        <x:v>00:00:00.0126294</x:v>
      </x:c>
      <x:c r="K20" s="9" t="str">
        <x:v>00:00:00.0141219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SmartLibrary.UnitTests.Features.Circulation.CirculationServiceTests.Checkout_ExpiresHoldsBeforeCheckingCopy</x:v>
      </x:c>
      <x:c r="G21" s="9" t="str">
        <x:v>evidence/unit.trx :: SmartLibrary.UnitTests.Features.Circulation.CirculationServiceTests.Checkout_WhenCopyUnavailable_Fails</x:v>
      </x:c>
      <x:c r="H21" s="9" t="str">
        <x:v>evidence/unit.trx :: SmartLibrary.UnitTests.Features.Circulation.CirculationServiceTests.Checkout_WhenHoldExpired_DoesNotBlockWalkIn</x:v>
      </x:c>
      <x:c r="I21" s="9" t="str">
        <x:v>evidence/unit.trx :: SmartLibrary.UnitTests.Features.Circulation.CirculationServiceTests.Checkout_WhenReadyHoldConsumesLastCopy_BlocksOtherReader</x:v>
      </x:c>
      <x:c r="J21" s="9" t="str">
        <x:v>evidence/unit.trx :: SmartLibrary.UnitTests.Features.Circulation.CirculationServiceTests.Checkout_WhenTwoClaimsRace_FailsSecond</x:v>
      </x:c>
      <x:c r="K21" s="9" t="str">
        <x:v>evidence/unit.trx :: SmartLibrary.UnitTests.Features.Circulation.CirculationServiceTests.Checkout_WhenUnpaidFines_BlocksBorrow</x:v>
      </x:c>
    </x:row>
  </x:sheetData>
  <x:mergeCells>
    <x:mergeCell ref="A2:E2"/>
    <x:mergeCell ref="F2:K2"/>
    <x:mergeCell ref="A3:E3"/>
    <x:mergeCell ref="F3:K3"/>
    <x:mergeCell ref="A4:E4"/>
    <x:mergeCell ref="F4:K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K18">
    <x:cfRule type="containsText" dxfId="84" priority="1" operator="containsText" text="Passed"/>
    <x:cfRule type="containsText" dxfId="85" priority="2" operator="containsText" text="Failed"/>
    <x:cfRule type="containsText" dxfId="86" priority="3" operator="containsText" text="Not Teste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F030 — CirculationServiceTests.CompleteCheckout</x:v>
      </x:c>
      <x:c r="G2" s="10"/>
      <x:c r="H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UT-075</x:v>
      </x:c>
      <x:c r="G9" s="5" t="str">
        <x:v>UT-076</x:v>
      </x:c>
      <x:c r="H9" s="5" t="str">
        <x:v>UT-077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Complete Checkout — When Admin Sets Seven Days — Uses Seven Days</x:v>
      </x:c>
      <x:c r="G10" s="9" t="str">
        <x:v>Complete Checkout — When Approved — Starts Borrow Period And Notifies Reader</x:v>
      </x:c>
      <x:c r="H10" s="9" t="str">
        <x:v>Complete Checkout — When Borrow Days Missing — Fails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loan.DueDate.Should().BeCloseTo(loan.BorrowDate!.Value.AddDays(7), TimeSpan.FromSeconds(1));</x:v>
      </x:c>
      <x:c r="G13" s="9" t="str">
        <x:v>result.IsSuccess.Should().BeTrue();
loan.Status.Should().Be(BorrowStatus.Borrowed);
loan.BorrowDate.Should().NotBeNull();
loan.DueDate.Should().BeCloseTo(loan.BorrowDate!.Value.AddDays(14), TimeSpan.FromSeconds(1));</x:v>
      </x:c>
      <x:c r="H13" s="9" t="str">
        <x:v>result.IsSuccess.Should().BeFalse();
result.Error.Should().Contain("thời hạn mượn");
loan.Status.Should().Be(BorrowStatus.Approved);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apps/api/tests/SmartLibrary.UnitTests/Features/Circulation/CirculationServiceTests.cs:583</x:v>
      </x:c>
      <x:c r="G14" s="9" t="str">
        <x:v>apps/api/tests/SmartLibrary.UnitTests/Features/Circulation/CirculationServiceTests.cs:548</x:v>
      </x:c>
      <x:c r="H14" s="9" t="str">
        <x:v>apps/api/tests/SmartLibrary.UnitTests/Features/Circulation/CirculationServiceTests.cs:610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FullyQualifiedName~CirculationServiceTests.CompleteCheckout_WhenAdminSetsSevenDays_UsesSevenDays</x:v>
      </x:c>
      <x:c r="G15" s="9" t="str">
        <x:v>dotnet test UnitTests project --filter FullyQualifiedName~CirculationServiceTests.CompleteCheckout_WhenApproved_StartsBorrowPeriodAndNotifiesReader</x:v>
      </x:c>
      <x:c r="H15" s="9" t="str">
        <x:v>dotnet test UnitTests project --filter FullyQualifiedName~CirculationServiceTests.CompleteCheckout_WhenBorrowDaysMissing_Fails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00:00:00.0153868</x:v>
      </x:c>
      <x:c r="G20" s="9" t="str">
        <x:v>00:00:00.0495620</x:v>
      </x:c>
      <x:c r="H20" s="9" t="str">
        <x:v>00:00:00.0238880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SmartLibrary.UnitTests.Features.Circulation.CirculationServiceTests.CompleteCheckout_WhenAdminSetsSevenDays_UsesSevenDays</x:v>
      </x:c>
      <x:c r="G21" s="9" t="str">
        <x:v>evidence/unit.trx :: SmartLibrary.UnitTests.Features.Circulation.CirculationServiceTests.CompleteCheckout_WhenApproved_StartsBorrowPeriodAndNotifiesReader</x:v>
      </x:c>
      <x:c r="H21" s="9" t="str">
        <x:v>evidence/unit.trx :: SmartLibrary.UnitTests.Features.Circulation.CirculationServiceTests.CompleteCheckout_WhenBorrowDaysMissing_Fails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87" priority="1" operator="containsText" text="Passed"/>
    <x:cfRule type="containsText" dxfId="88" priority="2" operator="containsText" text="Failed"/>
    <x:cfRule type="containsText" dxfId="89" priority="3" operator="containsText" text="Not Teste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F031 — CirculationServiceTests.ConfirmIncident</x:v>
      </x:c>
      <x:c r="G2" s="10"/>
      <x:c r="H2" s="10"/>
      <x:c r="I2" s="10"/>
      <x:c r="J2" s="10"/>
      <x:c r="K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COUNTIF(F18:K18,"Passed")</x:f>
        <x:v>6</x:v>
      </x:c>
      <x:c r="B7" t="n">
        <x:f>COUNTIF(F18:K18,"Failed")</x:f>
        <x:v>0</x:v>
      </x:c>
      <x:c r="C7" t="n">
        <x:f>COUNTIF(F18:K18,"Not Tested")</x:f>
        <x:v>0</x:v>
      </x:c>
      <x:c r="D7" t="n">
        <x:f>COUNTA(F9:K9)</x:f>
        <x:v>6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UT-078</x:v>
      </x:c>
      <x:c r="G9" s="5" t="str">
        <x:v>UT-079</x:v>
      </x:c>
      <x:c r="H9" s="5" t="str">
        <x:v>UT-080</x:v>
      </x:c>
      <x:c r="I9" s="5" t="str">
        <x:v>UT-081</x:v>
      </x:c>
      <x:c r="J9" s="5" t="str">
        <x:v>UT-082</x:v>
      </x:c>
      <x:c r="K9" s="5" t="str">
        <x:v>UT-083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Confirm Incident — Ignores Client Amount — Uses Admin Policy</x:v>
      </x:c>
      <x:c r="G10" s="9" t="str">
        <x:v>Confirm Incident — When Already Charged — Does Not Duplicate</x:v>
      </x:c>
      <x:c r="H10" s="9" t="str">
        <x:v>Confirm Incident — When Light Damage — Does Not Charge Replacement</x:v>
      </x:c>
      <x:c r="I10" s="9" t="str">
        <x:v>Confirm Incident — When Lost Fee Missing — Fails</x:v>
      </x:c>
      <x:c r="J10" s="9" t="str">
        <x:v>Confirm Incident — When Lost With Overdue — Creates Compensation And Overdue Once</x:v>
      </x:c>
      <x:c r="K10" s="9" t="str">
        <x:v>Confirm Incident — When Two Claims Race — Only One Creates Compensation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  <x:c r="I11" s="9" t="str">
        <x:v>Arrange fixture and test doubles defined in CirculationServiceTests. No live service.</x:v>
      </x:c>
      <x:c r="J11" s="9" t="str">
        <x:v>Arrange fixture and test doubles defined in CirculationServiceTests. No live service.</x:v>
      </x:c>
      <x:c r="K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</x:v>
      </x:c>
      <x:c r="G13" s="9" t="str">
        <x:v>result.IsSuccess.Should().BeFalse();
result.Error.Should().Contain("hai lần");</x:v>
      </x:c>
      <x:c r="H13" s="9" t="str">
        <x:v>result.IsSuccess.Should().BeTrue();
incident.BookCopy.IsAvailable.Should().BeTrue();
incident.BookCopy.Condition.Should().Be(BookCondition.Damaged);</x:v>
      </x:c>
      <x:c r="I13" s="9" t="str">
        <x:v>result.IsSuccess.Should().BeFalse();
result.Error.Should().Contain("lost_book_fee");</x:v>
      </x:c>
      <x:c r="J13" s="9" t="str">
        <x:v>result.IsSuccess.Should().BeTrue();
result.Data!.TotalAmount.Should().Be(215000);
incident.Status.Should().Be(BookIncidentStatus.CompensationPending);
incident.BookCopy.Condition.Should().Be(BookCondition.Lost);
incident.BookCopy.IsAvailable.Should().BeFalse();</x:v>
      </x:c>
      <x:c r="K13" s="9" t="str">
        <x:v>results.Count(x =&gt; x.IsSuccess).Should().Be(1);
results.Count(x =&gt; !x.IsSuccess).Should().Be(1);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apps/api/tests/SmartLibrary.UnitTests/Features/Circulation/CirculationServiceTests.cs:376</x:v>
      </x:c>
      <x:c r="G14" s="9" t="str">
        <x:v>apps/api/tests/SmartLibrary.UnitTests/Features/Circulation/CirculationServiceTests.cs:431</x:v>
      </x:c>
      <x:c r="H14" s="9" t="str">
        <x:v>apps/api/tests/SmartLibrary.UnitTests/Features/Circulation/CirculationServiceTests.cs:448</x:v>
      </x:c>
      <x:c r="I14" s="9" t="str">
        <x:v>apps/api/tests/SmartLibrary.UnitTests/Features/Circulation/CirculationServiceTests.cs:358</x:v>
      </x:c>
      <x:c r="J14" s="9" t="str">
        <x:v>apps/api/tests/SmartLibrary.UnitTests/Features/Circulation/CirculationServiceTests.cs:394</x:v>
      </x:c>
      <x:c r="K14" s="9" t="str">
        <x:v>apps/api/tests/SmartLibrary.UnitTests/Features/Circulation/CirculationServiceTests.cs:1222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FullyQualifiedName~CirculationServiceTests.ConfirmIncident_IgnoresClientAmount_UsesAdminPolicy</x:v>
      </x:c>
      <x:c r="G15" s="9" t="str">
        <x:v>dotnet test UnitTests project --filter FullyQualifiedName~CirculationServiceTests.ConfirmIncident_WhenAlreadyCharged_DoesNotDuplicate</x:v>
      </x:c>
      <x:c r="H15" s="9" t="str">
        <x:v>dotnet test UnitTests project --filter FullyQualifiedName~CirculationServiceTests.ConfirmIncident_WhenLightDamage_DoesNotChargeReplacement</x:v>
      </x:c>
      <x:c r="I15" s="9" t="str">
        <x:v>dotnet test UnitTests project --filter FullyQualifiedName~CirculationServiceTests.ConfirmIncident_WhenLostFeeMissing_Fails</x:v>
      </x:c>
      <x:c r="J15" s="9" t="str">
        <x:v>dotnet test UnitTests project --filter FullyQualifiedName~CirculationServiceTests.ConfirmIncident_WhenLostWithOverdue_CreatesCompensationAndOverdueOnce</x:v>
      </x:c>
      <x:c r="K15" s="9" t="str">
        <x:v>dotnet test UnitTests project --filter FullyQualifiedName~CirculationServiceTests.ConfirmIncident_WhenTwoClaimsRace_OnlyOneCreatesCompensation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  <x:c r="I17" s="9" t="str">
        <x:v>A</x:v>
      </x:c>
      <x:c r="J17" s="9" t="str">
        <x:v>N</x:v>
      </x:c>
      <x:c r="K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00:00:00.0186939</x:v>
      </x:c>
      <x:c r="G20" s="9" t="str">
        <x:v>00:00:00.0138231</x:v>
      </x:c>
      <x:c r="H20" s="9" t="str">
        <x:v>00:00:00.0234292</x:v>
      </x:c>
      <x:c r="I20" s="9" t="str">
        <x:v>00:00:00.0171532</x:v>
      </x:c>
      <x:c r="J20" s="9" t="str">
        <x:v>00:00:00.0153366</x:v>
      </x:c>
      <x:c r="K20" s="9" t="str">
        <x:v>00:00:00.0741033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SmartLibrary.UnitTests.Features.Circulation.CirculationServiceTests.ConfirmIncident_IgnoresClientAmount_UsesAdminPolicy</x:v>
      </x:c>
      <x:c r="G21" s="9" t="str">
        <x:v>evidence/unit.trx :: SmartLibrary.UnitTests.Features.Circulation.CirculationServiceTests.ConfirmIncident_WhenAlreadyCharged_DoesNotDuplicate</x:v>
      </x:c>
      <x:c r="H21" s="9" t="str">
        <x:v>evidence/unit.trx :: SmartLibrary.UnitTests.Features.Circulation.CirculationServiceTests.ConfirmIncident_WhenLightDamage_DoesNotChargeReplacement</x:v>
      </x:c>
      <x:c r="I21" s="9" t="str">
        <x:v>evidence/unit.trx :: SmartLibrary.UnitTests.Features.Circulation.CirculationServiceTests.ConfirmIncident_WhenLostFeeMissing_Fails</x:v>
      </x:c>
      <x:c r="J21" s="9" t="str">
        <x:v>evidence/unit.trx :: SmartLibrary.UnitTests.Features.Circulation.CirculationServiceTests.ConfirmIncident_WhenLostWithOverdue_CreatesCompensationAndOverdueOnce</x:v>
      </x:c>
      <x:c r="K21" s="9" t="str">
        <x:v>evidence/unit.trx :: SmartLibrary.UnitTests.Features.Circulation.CirculationServiceTests.ConfirmIncident_WhenTwoClaimsRace_OnlyOneCreatesCompensation</x:v>
      </x:c>
    </x:row>
  </x:sheetData>
  <x:mergeCells>
    <x:mergeCell ref="A2:E2"/>
    <x:mergeCell ref="F2:K2"/>
    <x:mergeCell ref="A3:E3"/>
    <x:mergeCell ref="F3:K3"/>
    <x:mergeCell ref="A4:E4"/>
    <x:mergeCell ref="F4:K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K18">
    <x:cfRule type="containsText" dxfId="90" priority="1" operator="containsText" text="Passed"/>
    <x:cfRule type="containsText" dxfId="91" priority="2" operator="containsText" text="Failed"/>
    <x:cfRule type="containsText" dxfId="92" priority="3" operator="containsText" text="Not Tested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F032 — CirculationServiceTests.CreateBookReservation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UT-084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Create Book Reservation — When Copies Remain — Fails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result.Error.Should().Contain("còn bản sao");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apps/api/tests/SmartLibrary.UnitTests/Features/Circulation/CirculationServiceTests.cs:873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FullyQualifiedName~CirculationServiceTests.CreateBookReservation_WhenCopiesRemain_Fails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00:00:00.0306732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SmartLibrary.UnitTests.Features.Circulation.CirculationServiceTests.CreateBookReservation_WhenCopiesRemain_Fails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93" priority="1" operator="containsText" text="Passed"/>
    <x:cfRule type="containsText" dxfId="94" priority="2" operator="containsText" text="Failed"/>
    <x:cfRule type="containsText" dxfId="95" priority="3" operator="containsText" text="Not Teste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F033 — CirculationServiceTests.CreateLibrarianReservation</x:v>
      </x:c>
      <x:c r="G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UT-085</x:v>
      </x:c>
      <x:c r="G9" s="5" t="str">
        <x:v>UT-086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Create Librarian Reservation — When Copies Are Unavailable — Creates Queue Entry And Notifies Reader</x:v>
      </x:c>
      <x:c r="G10" s="9" t="str">
        <x:v>Create Librarian Reservation — When Copies Remain — Fails Without Adding Reservation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result.Data!.BookId.Should().Be(bookId);</x:v>
      </x:c>
      <x:c r="G13" s="9" t="str">
        <x:v>result.IsSuccess.Should().BeFalse();
result.Error.Should().Contain("vẫn còn");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apps/api/tests/SmartLibrary.UnitTests/Features/Circulation/CirculationServiceTests.cs:892</x:v>
      </x:c>
      <x:c r="G14" s="9" t="str">
        <x:v>apps/api/tests/SmartLibrary.UnitTests/Features/Circulation/CirculationServiceTests.cs:935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FullyQualifiedName~CirculationServiceTests.CreateLibrarianReservation_WhenCopiesAreUnavailable_CreatesQueueEntryAndNotifiesReader</x:v>
      </x:c>
      <x:c r="G15" s="9" t="str">
        <x:v>dotnet test UnitTests project --filter FullyQualifiedName~CirculationServiceTests.CreateLibrarianReservation_WhenCopiesRemain_FailsWithoutAddingReservation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00:00:00.0313336</x:v>
      </x:c>
      <x:c r="G20" s="9" t="str">
        <x:v>00:00:00.0159506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SmartLibrary.UnitTests.Features.Circulation.CirculationServiceTests.CreateLibrarianReservation_WhenCopiesAreUnavailable_CreatesQueueEntryAndNotifiesReader</x:v>
      </x:c>
      <x:c r="G21" s="9" t="str">
        <x:v>evidence/unit.trx :: SmartLibrary.UnitTests.Features.Circulation.CirculationServiceTests.CreateLibrarianReservation_WhenCopiesRemain_FailsWithoutAddingReservation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96" priority="1" operator="containsText" text="Passed"/>
    <x:cfRule type="containsText" dxfId="97" priority="2" operator="containsText" text="Failed"/>
    <x:cfRule type="containsText" dxfId="98" priority="3" operator="containsText" text="Not Tested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F034 — CirculationServiceTests.CreatePayOSCheckout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UT-087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Create Pay OSCheckout — Uses Exact Fine Amount And Reuses Pending Intent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result.Data!.Amount.Should().Be(5000);
result.Data.CheckoutUrl.Should().Be(checkout.CheckoutUrl);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apps/api/tests/SmartLibrary.UnitTests/Features/Circulation/CirculationServiceTests.cs:222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FullyQualifiedName~CirculationServiceTests.CreatePayOSCheckout_UsesExactFineAmountAndReusesPendingIntent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00:00:00.0294777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SmartLibrary.UnitTests.Features.Circulation.CirculationServiceTests.CreatePayOSCheckout_UsesExactFineAmountAndReusesPendingIntent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99" priority="1" operator="containsText" text="Passed"/>
    <x:cfRule type="containsText" dxfId="100" priority="2" operator="containsText" text="Failed"/>
    <x:cfRule type="containsText" dxfId="101" priority="3" operator="containsText" text="Not Tested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F035 — CirculationServiceTests.ExpireHold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UT-088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Expire Hold — When Copy Unusable — Does Not Ready Next Reader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Assert behavior in the source method (multi-line assertions); see source reference.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apps/api/tests/SmartLibrary.UnitTests/Features/Circulation/CirculationServiceTests.cs:1180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FullyQualifiedName~CirculationServiceTests.ExpireHold_WhenCopyUnusable_DoesNotReadyNextReader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00:00:00.1881275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SmartLibrary.UnitTests.Features.Circulation.CirculationServiceTests.ExpireHold_WhenCopyUnusable_DoesNotReadyNextReader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02" priority="1" operator="containsText" text="Passed"/>
    <x:cfRule type="containsText" dxfId="103" priority="2" operator="containsText" text="Failed"/>
    <x:cfRule type="containsText" dxfId="104" priority="3" operator="containsText" text="Not Tested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F036 — CirculationServiceTests.ExpireUncollectedPickup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UT-089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Expire Uncollected Pickup — Releases Held Copy After Grace Period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expired.Should().ContainSingle();
loan.Status.Should().Be(BorrowStatus.Rejected);
copy.IsAvailable.Should().BeTrue();
copy.Book.AvailableCopies.Should().Be(3);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apps/api/tests/SmartLibrary.UnitTests/Features/Circulation/CirculationServiceTests.cs:635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FullyQualifiedName~CirculationServiceTests.ExpireUncollectedPickup_ReleasesHeldCopyAfterGracePeriod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00:00:00.0226957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SmartLibrary.UnitTests.Features.Circulation.CirculationServiceTests.ExpireUncollectedPickup_ReleasesHeldCopyAfterGracePeriod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05" priority="1" operator="containsText" text="Passed"/>
    <x:cfRule type="containsText" dxfId="106" priority="2" operator="containsText" text="Failed"/>
    <x:cfRule type="containsText" dxfId="107" priority="3" operator="containsText" text="Not Teste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F037 — CirculationServiceTests.GetBorrowableCopyCount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Get Borrowable Copy Count — Excludes Copies Held For Ready Reservations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result.Should().Be(1);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apps/api/tests/SmartLibrary.UnitTests/Features/Circulation/CirculationServiceTests.cs:955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FullyQualifiedName~CirculationServiceTests.GetBorrowableCopyCount_ExcludesCopiesHeldForReadyReservations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00:00:00.0118475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SmartLibrary.UnitTests.Features.Circulation.CirculationServiceTests.GetBorrowableCopyCount_ExcludesCopiesHeldForReadyReservations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08" priority="1" operator="containsText" text="Passed"/>
    <x:cfRule type="containsText" dxfId="109" priority="2" operator="containsText" text="Failed"/>
    <x:cfRule type="containsText" dxfId="110" priority="3" operator="containsText" text="Not Tested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F038 — CirculationServiceTests.GetMyFines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Get My Fines — When Anonymous — Fails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apps/api/tests/SmartLibrary.UnitTests/Features/Circulation/CirculationServiceTests.cs:1016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FullyQualifiedName~CirculationServiceTests.GetMyFines_WhenAnonymous_Fails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00:00:00.0104451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SmartLibrary.UnitTests.Features.Circulation.CirculationServiceTests.GetMyFines_WhenAnonymous_Fails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11" priority="1" operator="containsText" text="Passed"/>
    <x:cfRule type="containsText" dxfId="112" priority="2" operator="containsText" text="Failed"/>
    <x:cfRule type="containsText" dxfId="113" priority="3" operator="containsText" text="Not Teste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F039 — CirculationServiceTests.PayFine</x:v>
      </x:c>
      <x:c r="G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UT-092</x:v>
      </x:c>
      <x:c r="G9" s="5" t="str">
        <x:v>UT-093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Pay Fine — When Already Paid — Is Idempotent</x:v>
      </x:c>
      <x:c r="G10" s="9" t="str">
        <x:v>Pay Fine — When Cash Received — Records Cash Channel And Receipt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first.IsSuccess.Should().BeTrue();
second.IsSuccess.Should().BeTrue();</x:v>
      </x:c>
      <x:c r="G13" s="9" t="str">
        <x:v>result.IsSuccess.Should().BeTrue();
fine.Status.Should().Be(FineStatus.Paid);
fine.PaymentMethod.Should().Be("Cash");
fine.RecordedById.Should().Be(librarianId);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apps/api/tests/SmartLibrary.UnitTests/Features/Circulation/CirculationServiceTests.cs:175</x:v>
      </x:c>
      <x:c r="G14" s="9" t="str">
        <x:v>apps/api/tests/SmartLibrary.UnitTests/Features/Circulation/CirculationServiceTests.cs:192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FullyQualifiedName~CirculationServiceTests.PayFine_WhenAlreadyPaid_IsIdempotent</x:v>
      </x:c>
      <x:c r="G15" s="9" t="str">
        <x:v>dotnet test UnitTests project --filter FullyQualifiedName~CirculationServiceTests.PayFine_WhenCashReceived_RecordsCashChannelAndReceipt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00:00:00.0166689</x:v>
      </x:c>
      <x:c r="G20" s="9" t="str">
        <x:v>00:00:00.0139433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SmartLibrary.UnitTests.Features.Circulation.CirculationServiceTests.PayFine_WhenAlreadyPaid_IsIdempotent</x:v>
      </x:c>
      <x:c r="G21" s="9" t="str">
        <x:v>evidence/unit.trx :: SmartLibrary.UnitTests.Features.Circulation.CirculationServiceTests.PayFine_WhenCashReceived_RecordsCashChannelAndReceipt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14" priority="1" operator="containsText" text="Passed"/>
    <x:cfRule type="containsText" dxfId="115" priority="2" operator="containsText" text="Failed"/>
    <x:cfRule type="containsText" dxfId="116" priority="3" operator="containsText" text="Not Teste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F040 — CirculationServiceTests.ProcessPayOSWebhook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Process Pay OSWebhook — When Amount Does Not Match — Does Not Settle Fine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fine.Status.Should().Be(FineStatus.Pending);
payment.Status.Should().Be(FinePaymentStatus.Pending);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apps/api/tests/SmartLibrary.UnitTests/Features/Circulation/CirculationServiceTests.cs:253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FullyQualifiedName~CirculationServiceTests.ProcessPayOSWebhook_WhenAmountDoesNotMatch_DoesNotSettleFine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00:00:00.0309394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SmartLibrary.UnitTests.Features.Circulation.CirculationServiceTests.ProcessPayOSWebhook_WhenAmountDoesNotMatch_DoesNotSettleFine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17" priority="1" operator="containsText" text="Passed"/>
    <x:cfRule type="containsText" dxfId="118" priority="2" operator="containsText" text="Failed"/>
    <x:cfRule type="containsText" dxfId="119" priority="3" operator="containsText" text="Not Tested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F041 — CirculationServiceTests.RecordFine</x:v>
      </x:c>
      <x:c r="G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UT-095</x:v>
      </x:c>
      <x:c r="G9" s="5" t="str">
        <x:v>UT-096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Record Fine — Ignores Client Amount — Uses Admin Policy</x:v>
      </x:c>
      <x:c r="G10" s="9" t="str">
        <x:v>Record Fine — When Overdue Fine Exists — Does Not Duplicate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</x:v>
      </x:c>
      <x:c r="G13" s="9" t="str">
        <x:v>result.IsSuccess.Should().BeFalse();
result.Error.Should().Contain("đã có phí quá hạn");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apps/api/tests/SmartLibrary.UnitTests/Features/Circulation/CirculationServiceTests.cs:308</x:v>
      </x:c>
      <x:c r="G14" s="9" t="str">
        <x:v>apps/api/tests/SmartLibrary.UnitTests/Features/Circulation/CirculationServiceTests.cs:294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FullyQualifiedName~CirculationServiceTests.RecordFine_IgnoresClientAmount_UsesAdminPolicy</x:v>
      </x:c>
      <x:c r="G15" s="9" t="str">
        <x:v>dotnet test UnitTests project --filter FullyQualifiedName~CirculationServiceTests.RecordFine_WhenOverdueFineExists_DoesNotDuplicate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00:00:00.0141993</x:v>
      </x:c>
      <x:c r="G20" s="9" t="str">
        <x:v>00:00:00.0196454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SmartLibrary.UnitTests.Features.Circulation.CirculationServiceTests.RecordFine_IgnoresClientAmount_UsesAdminPolicy</x:v>
      </x:c>
      <x:c r="G21" s="9" t="str">
        <x:v>evidence/unit.trx :: SmartLibrary.UnitTests.Features.Circulation.CirculationServiceTests.RecordFine_WhenOverdueFineExists_DoesNotDuplicate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20" priority="1" operator="containsText" text="Passed"/>
    <x:cfRule type="containsText" dxfId="121" priority="2" operator="containsText" text="Failed"/>
    <x:cfRule type="containsText" dxfId="122" priority="3" operator="containsText" text="Not Tested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F042 — CirculationServiceTests.Renew</x:v>
      </x:c>
      <x:c r="G2" s="10"/>
      <x:c r="H2" s="10"/>
      <x:c r="I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UT-097</x:v>
      </x:c>
      <x:c r="G9" s="5" t="str">
        <x:v>UT-098</x:v>
      </x:c>
      <x:c r="H9" s="5" t="str">
        <x:v>UT-099</x:v>
      </x:c>
      <x:c r="I9" s="5" t="str">
        <x:v>UT-100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Renew — When Eligible Self Service — Extends Due Date And Persists Renewal</x:v>
      </x:c>
      <x:c r="G10" s="9" t="str">
        <x:v>Renew — When Exceeding Max — Fails</x:v>
      </x:c>
      <x:c r="H10" s="9" t="str">
        <x:v>Renew — When Reader Does Not Own Loan — Fails Without Updating</x:v>
      </x:c>
      <x:c r="I10" s="9" t="str">
        <x:v>Renew — When Unpaid And Self Service — Fails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  <x:c r="I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loan.DueDate.Should().BeAfter(originalDueDate);
loan.DueDate.Should().BeCloseTo(originalDueDate.AddDays(_settings.RenewalDays), TimeSpan.FromSeconds(1));
loan.RenewalCount.Should().Be(1);
loan.Status.Should().Be(BorrowStatus.Borrowed);
loan.Notes.Should().Contain("Tự gia hạn lần 1");
result.Data!.CanRenew.Should().BeFalse();
result.Data.RenewalUnavailableReason.Should().Contain("cửa sổ");</x:v>
      </x:c>
      <x:c r="G13" s="9" t="str">
        <x:v>result.IsSuccess.Should().BeFalse();
result.Error.Should().Contain("hết số lần");</x:v>
      </x:c>
      <x:c r="H13" s="9" t="str">
        <x:v>result.IsSuccess.Should().BeFalse();
result.Error.Should().Contain("phiếu của mình");
loan.RenewalCount.Should().Be(0);</x:v>
      </x:c>
      <x:c r="I13" s="9" t="str">
        <x:v>result.IsSuccess.Should().BeFalse();
result.Error.Should().Contain("phí chưa thanh toán");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apps/api/tests/SmartLibrary.UnitTests/Features/Circulation/CirculationServiceTests.cs:749</x:v>
      </x:c>
      <x:c r="G14" s="9" t="str">
        <x:v>apps/api/tests/SmartLibrary.UnitTests/Features/Circulation/CirculationServiceTests.cs:851</x:v>
      </x:c>
      <x:c r="H14" s="9" t="str">
        <x:v>apps/api/tests/SmartLibrary.UnitTests/Features/Circulation/CirculationServiceTests.cs:786</x:v>
      </x:c>
      <x:c r="I14" s="9" t="str">
        <x:v>apps/api/tests/SmartLibrary.UnitTests/Features/Circulation/CirculationServiceTests.cs:729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FullyQualifiedName~CirculationServiceTests.Renew_WhenEligibleSelfService_ExtendsDueDateAndPersistsRenewal</x:v>
      </x:c>
      <x:c r="G15" s="9" t="str">
        <x:v>dotnet test UnitTests project --filter FullyQualifiedName~CirculationServiceTests.Renew_WhenExceedingMax_Fails</x:v>
      </x:c>
      <x:c r="H15" s="9" t="str">
        <x:v>dotnet test UnitTests project --filter FullyQualifiedName~CirculationServiceTests.Renew_WhenReaderDoesNotOwnLoan_FailsWithoutUpdating</x:v>
      </x:c>
      <x:c r="I15" s="9" t="str">
        <x:v>dotnet test UnitTests project --filter FullyQualifiedName~CirculationServiceTests.Renew_WhenUnpaidAndSelfService_Fails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  <x:c r="H17" s="9" t="str">
        <x:v>A</x:v>
      </x:c>
      <x:c r="I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00:00:00.0181057</x:v>
      </x:c>
      <x:c r="G20" s="9" t="str">
        <x:v>00:00:00.0139671</x:v>
      </x:c>
      <x:c r="H20" s="9" t="str">
        <x:v>00:00:00.0186210</x:v>
      </x:c>
      <x:c r="I20" s="9" t="str">
        <x:v>00:00:00.0318864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SmartLibrary.UnitTests.Features.Circulation.CirculationServiceTests.Renew_WhenEligibleSelfService_ExtendsDueDateAndPersistsRenewal</x:v>
      </x:c>
      <x:c r="G21" s="9" t="str">
        <x:v>evidence/unit.trx :: SmartLibrary.UnitTests.Features.Circulation.CirculationServiceTests.Renew_WhenExceedingMax_Fails</x:v>
      </x:c>
      <x:c r="H21" s="9" t="str">
        <x:v>evidence/unit.trx :: SmartLibrary.UnitTests.Features.Circulation.CirculationServiceTests.Renew_WhenReaderDoesNotOwnLoan_FailsWithoutUpdating</x:v>
      </x:c>
      <x:c r="I21" s="9" t="str">
        <x:v>evidence/unit.trx :: SmartLibrary.UnitTests.Features.Circulation.CirculationServiceTests.Renew_WhenUnpaidAndSelfService_Fails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123" priority="1" operator="containsText" text="Passed"/>
    <x:cfRule type="containsText" dxfId="124" priority="2" operator="containsText" text="Failed"/>
    <x:cfRule type="containsText" dxfId="125" priority="3" operator="containsText" text="Not Tested"/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F043 — CirculationServiceTests.ReportIncident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UT-101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Report Incident — Does Not Create Compensation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result.Data!.Status.Should().Be("PendingReview");
loan.Status.Should().Be(BorrowStatus.Borrowed);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apps/api/tests/SmartLibrary.UnitTests/Features/Circulation/CirculationServiceTests.cs:807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FullyQualifiedName~CirculationServiceTests.ReportIncident_DoesNotCreateCompensation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00:00:00.0135887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SmartLibrary.UnitTests.Features.Circulation.CirculationServiceTests.ReportIncident_DoesNotCreateCompensation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26" priority="1" operator="containsText" text="Passed"/>
    <x:cfRule type="containsText" dxfId="127" priority="2" operator="containsText" text="Failed"/>
    <x:cfRule type="containsText" dxfId="128" priority="3" operator="containsText" text="Not Tested"/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F044 — CirculationServiceTests.RequestBorrow</x:v>
      </x:c>
      <x:c r="G2" s="10"/>
      <x:c r="H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UT-102</x:v>
      </x:c>
      <x:c r="G9" s="5" t="str">
        <x:v>UT-103</x:v>
      </x:c>
      <x:c r="H9" s="5" t="str">
        <x:v>UT-104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Request Borrow — Creates Pending And Claims Copy</x:v>
      </x:c>
      <x:c r="G10" s="9" t="str">
        <x:v>Request Borrow — When Reader Has Overdue Books — Is Blocked By Policy</x:v>
      </x:c>
      <x:c r="H10" s="9" t="str">
        <x:v>Request Borrow — When Slot Capacity Reached — Does Not Claim Copy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result.Data!.Status.Should().Be("Pending");</x:v>
      </x:c>
      <x:c r="G13" s="9" t="str">
        <x:v>result.IsSuccess.Should().BeFalse();
result.Error.Should().Contain("quá hạn");</x:v>
      </x:c>
      <x:c r="H13" s="9" t="str">
        <x:v>result.IsSuccess.Should().BeFalse();
result.Error.Should().Contain("đã đủ số lượt");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apps/api/tests/SmartLibrary.UnitTests/Features/Circulation/CirculationServiceTests.cs:493</x:v>
      </x:c>
      <x:c r="G14" s="9" t="str">
        <x:v>apps/api/tests/SmartLibrary.UnitTests/Features/Circulation/CirculationServiceTests.cs:532</x:v>
      </x:c>
      <x:c r="H14" s="9" t="str">
        <x:v>apps/api/tests/SmartLibrary.UnitTests/Features/Circulation/CirculationServiceTests.cs:517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FullyQualifiedName~CirculationServiceTests.RequestBorrow_CreatesPendingAndClaimsCopy</x:v>
      </x:c>
      <x:c r="G15" s="9" t="str">
        <x:v>dotnet test UnitTests project --filter FullyQualifiedName~CirculationServiceTests.RequestBorrow_WhenReaderHasOverdueBooks_IsBlockedByPolicy</x:v>
      </x:c>
      <x:c r="H15" s="9" t="str">
        <x:v>dotnet test UnitTests project --filter FullyQualifiedName~CirculationServiceTests.RequestBorrow_WhenSlotCapacityReached_DoesNotClaimCopy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00:00:00.0227845</x:v>
      </x:c>
      <x:c r="G20" s="9" t="str">
        <x:v>00:00:00.0272635</x:v>
      </x:c>
      <x:c r="H20" s="9" t="str">
        <x:v>00:00:00.0421893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SmartLibrary.UnitTests.Features.Circulation.CirculationServiceTests.RequestBorrow_CreatesPendingAndClaimsCopy</x:v>
      </x:c>
      <x:c r="G21" s="9" t="str">
        <x:v>evidence/unit.trx :: SmartLibrary.UnitTests.Features.Circulation.CirculationServiceTests.RequestBorrow_WhenReaderHasOverdueBooks_IsBlockedByPolicy</x:v>
      </x:c>
      <x:c r="H21" s="9" t="str">
        <x:v>evidence/unit.trx :: SmartLibrary.UnitTests.Features.Circulation.CirculationServiceTests.RequestBorrow_WhenSlotCapacityReached_DoesNotClaimCopy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129" priority="1" operator="containsText" text="Passed"/>
    <x:cfRule type="containsText" dxfId="130" priority="2" operator="containsText" text="Failed"/>
    <x:cfRule type="containsText" dxfId="131" priority="3" operator="containsText" text="Not Tested"/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F045 — CirculationServiceTests.Return</x:v>
      </x:c>
      <x:c r="G2" s="10"/>
      <x:c r="H2" s="10"/>
      <x:c r="I2" s="10"/>
      <x:c r="J2" s="10"/>
      <x:c r="K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COUNTIF(F18:K18,"Passed")</x:f>
        <x:v>6</x:v>
      </x:c>
      <x:c r="B7" t="n">
        <x:f>COUNTIF(F18:K18,"Failed")</x:f>
        <x:v>0</x:v>
      </x:c>
      <x:c r="C7" t="n">
        <x:f>COUNTIF(F18:K18,"Not Tested")</x:f>
        <x:v>0</x:v>
      </x:c>
      <x:c r="D7" t="n">
        <x:f>COUNTA(F9:K9)</x:f>
        <x:v>6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UT-105</x:v>
      </x:c>
      <x:c r="G9" s="5" t="str">
        <x:v>UT-106</x:v>
      </x:c>
      <x:c r="H9" s="5" t="str">
        <x:v>UT-107</x:v>
      </x:c>
      <x:c r="I9" s="5" t="str">
        <x:v>UT-108</x:v>
      </x:c>
      <x:c r="J9" s="5" t="str">
        <x:v>UT-109</x:v>
      </x:c>
      <x:c r="K9" s="5" t="str">
        <x:v>UT-110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Return — Persists Available Copy Before Ready Reservation Is Selected</x:v>
      </x:c>
      <x:c r="G10" s="9" t="str">
        <x:v>Return — When Already Completed — Fails</x:v>
      </x:c>
      <x:c r="H10" s="9" t="str">
        <x:v>Return — When Lost — Opens Incident Without Compensation</x:v>
      </x:c>
      <x:c r="I10" s="9" t="str">
        <x:v>Return — When On Time — Does Not Create Fine</x:v>
      </x:c>
      <x:c r="J10" s="9" t="str">
        <x:v>Return — When Overdue Fine Already Exists — Does Not Duplicate</x:v>
      </x:c>
      <x:c r="K10" s="9" t="str">
        <x:v>Return — When Overdue — Creates Fine Once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  <x:c r="I11" s="9" t="str">
        <x:v>Arrange fixture and test doubles defined in CirculationServiceTests. No live service.</x:v>
      </x:c>
      <x:c r="J11" s="9" t="str">
        <x:v>Arrange fixture and test doubles defined in CirculationServiceTests. No live service.</x:v>
      </x:c>
      <x:c r="K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result.Data!.ReadyReservationReaderId.Should().Be(reservation.ReaderId);
order.IndexOf("availability").Should().BeGreaterThan(order.IndexOf("save"));</x:v>
      </x:c>
      <x:c r="G13" s="9" t="str">
        <x:v>result.IsSuccess.Should().BeFalse();
result.Error.Should().Contain("Không có phiếu");</x:v>
      </x:c>
      <x:c r="H13" s="9" t="str">
        <x:v>result.IsSuccess.Should().BeTrue();
result.Data!.IncidentOpened.Should().BeTrue();
result.Data.CreatedFineAmount.Should().BeNull();</x:v>
      </x:c>
      <x:c r="I13" s="9" t="str">
        <x:v>result.IsSuccess.Should().BeTrue();
result.Data!.CreatedFineAmount.Should().BeNull();</x:v>
      </x:c>
      <x:c r="J13" s="9" t="str">
        <x:v>result.IsSuccess.Should().BeTrue();
result.Data!.CreatedFineAmount.Should().BeNull();</x:v>
      </x:c>
      <x:c r="K13" s="9" t="str">
        <x:v>result.IsSuccess.Should().BeTrue();
result.Data!.CreatedFineAmount.Should().Be(expected);
expected.Should().BeGreaterThan(0);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apps/api/tests/SmartLibrary.UnitTests/Features/Circulation/CirculationServiceTests.cs:967</x:v>
      </x:c>
      <x:c r="G14" s="9" t="str">
        <x:v>apps/api/tests/SmartLibrary.UnitTests/Features/Circulation/CirculationServiceTests.cs:720</x:v>
      </x:c>
      <x:c r="H14" s="9" t="str">
        <x:v>apps/api/tests/SmartLibrary.UnitTests/Features/Circulation/CirculationServiceTests.cs:327</x:v>
      </x:c>
      <x:c r="I14" s="9" t="str">
        <x:v>apps/api/tests/SmartLibrary.UnitTests/Features/Circulation/CirculationServiceTests.cs:666</x:v>
      </x:c>
      <x:c r="J14" s="9" t="str">
        <x:v>apps/api/tests/SmartLibrary.UnitTests/Features/Circulation/CirculationServiceTests.cs:1246</x:v>
      </x:c>
      <x:c r="K14" s="9" t="str">
        <x:v>apps/api/tests/SmartLibrary.UnitTests/Features/Circulation/CirculationServiceTests.cs:691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FullyQualifiedName~CirculationServiceTests.Return_PersistsAvailableCopyBeforeReadyReservationIsSelected</x:v>
      </x:c>
      <x:c r="G15" s="9" t="str">
        <x:v>dotnet test UnitTests project --filter FullyQualifiedName~CirculationServiceTests.Return_WhenAlreadyCompleted_Fails</x:v>
      </x:c>
      <x:c r="H15" s="9" t="str">
        <x:v>dotnet test UnitTests project --filter FullyQualifiedName~CirculationServiceTests.Return_WhenLost_OpensIncidentWithoutCompensation</x:v>
      </x:c>
      <x:c r="I15" s="9" t="str">
        <x:v>dotnet test UnitTests project --filter FullyQualifiedName~CirculationServiceTests.Return_WhenOnTime_DoesNotCreateFine</x:v>
      </x:c>
      <x:c r="J15" s="9" t="str">
        <x:v>dotnet test UnitTests project --filter FullyQualifiedName~CirculationServiceTests.Return_WhenOverdueFineAlreadyExists_DoesNotDuplicate</x:v>
      </x:c>
      <x:c r="K15" s="9" t="str">
        <x:v>dotnet test UnitTests project --filter FullyQualifiedName~CirculationServiceTests.Return_WhenOverdue_CreatesFineOnce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A</x:v>
      </x:c>
      <x:c r="H17" s="9" t="str">
        <x:v>N</x:v>
      </x:c>
      <x:c r="I17" s="9" t="str">
        <x:v>N</x:v>
      </x:c>
      <x:c r="J17" s="9" t="str">
        <x:v>N</x:v>
      </x:c>
      <x:c r="K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00:00:00.0698460</x:v>
      </x:c>
      <x:c r="G20" s="9" t="str">
        <x:v>00:00:00.0160084</x:v>
      </x:c>
      <x:c r="H20" s="9" t="str">
        <x:v>00:00:00.0161506</x:v>
      </x:c>
      <x:c r="I20" s="9" t="str">
        <x:v>00:00:00.0115675</x:v>
      </x:c>
      <x:c r="J20" s="9" t="str">
        <x:v>00:00:00.0144981</x:v>
      </x:c>
      <x:c r="K20" s="9" t="str">
        <x:v>00:00:00.0562275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SmartLibrary.UnitTests.Features.Circulation.CirculationServiceTests.Return_PersistsAvailableCopyBeforeReadyReservationIsSelected</x:v>
      </x:c>
      <x:c r="G21" s="9" t="str">
        <x:v>evidence/unit.trx :: SmartLibrary.UnitTests.Features.Circulation.CirculationServiceTests.Return_WhenAlreadyCompleted_Fails</x:v>
      </x:c>
      <x:c r="H21" s="9" t="str">
        <x:v>evidence/unit.trx :: SmartLibrary.UnitTests.Features.Circulation.CirculationServiceTests.Return_WhenLost_OpensIncidentWithoutCompensation</x:v>
      </x:c>
      <x:c r="I21" s="9" t="str">
        <x:v>evidence/unit.trx :: SmartLibrary.UnitTests.Features.Circulation.CirculationServiceTests.Return_WhenOnTime_DoesNotCreateFine</x:v>
      </x:c>
      <x:c r="J21" s="9" t="str">
        <x:v>evidence/unit.trx :: SmartLibrary.UnitTests.Features.Circulation.CirculationServiceTests.Return_WhenOverdueFineAlreadyExists_DoesNotDuplicate</x:v>
      </x:c>
      <x:c r="K21" s="9" t="str">
        <x:v>evidence/unit.trx :: SmartLibrary.UnitTests.Features.Circulation.CirculationServiceTests.Return_WhenOverdue_CreatesFineOnce</x:v>
      </x:c>
    </x:row>
  </x:sheetData>
  <x:mergeCells>
    <x:mergeCell ref="A2:E2"/>
    <x:mergeCell ref="F2:K2"/>
    <x:mergeCell ref="A3:E3"/>
    <x:mergeCell ref="F3:K3"/>
    <x:mergeCell ref="A4:E4"/>
    <x:mergeCell ref="F4:K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K18">
    <x:cfRule type="containsText" dxfId="132" priority="1" operator="containsText" text="Passed"/>
    <x:cfRule type="containsText" dxfId="133" priority="2" operator="containsText" text="Failed"/>
    <x:cfRule type="containsText" dxfId="134" priority="3" operator="containsText" text="Not Tested"/>
  </x:conditionalFormatting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F046 — CirculationServiceTests.SearchBookOptions</x:v>
      </x:c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UT-111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Search Book Options — Trims Query And Limits Results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result.Should().BeEmpty();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apps/api/tests/SmartLibrary.UnitTests/Features/Circulation/CirculationServiceTests.cs:96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FullyQualifiedName~CirculationServiceTests.SearchBookOptions_TrimsQueryAndLimitsResults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00:00:00.0182025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SmartLibrary.UnitTests.Features.Circulation.CirculationServiceTests.SearchBookOptions_TrimsQueryAndLimitsResults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35" priority="1" operator="containsText" text="Passed"/>
    <x:cfRule type="containsText" dxfId="136" priority="2" operator="containsText" text="Failed"/>
    <x:cfRule type="containsText" dxfId="137" priority="3" operator="containsText" text="Not Tested"/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F047 — CirculationServiceTests.SearchReaderOptions</x:v>
      </x:c>
      <x:c r="G2" s="10"/>
      <x:c r="H2" s="10"/>
    </x:row>
    <x:row r="3">
      <x:c r="A3" t="str">
        <x:v>Source class</x:v>
      </x:c>
      <x:c r="F3" t="str">
        <x:v>CirculationServiceTests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COUNTIF(F18:H18,"Passed")</x:f>
        <x:v>3</x:v>
      </x:c>
      <x:c r="B7" t="n">
        <x:f>COUNTIF(F18:H18,"Failed")</x:f>
        <x:v>0</x:v>
      </x:c>
      <x:c r="C7" t="n">
        <x:f>COUNTIF(F18:H18,"Not Tested")</x:f>
        <x:v>0</x:v>
      </x:c>
      <x:c r="D7" t="n">
        <x:f>COUNTA(F9:H9)</x:f>
        <x:v>3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UT-112</x:v>
      </x:c>
      <x:c r="G9" s="5" t="str">
        <x:v>UT-113</x:v>
      </x:c>
      <x:c r="H9" s="5" t="str">
        <x:v>UT-114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Search Reader Options — When Query Is Short — Returns Empty Without Querying Repository</x:v>
      </x:c>
      <x:c r="G10" s="9" t="str">
        <x:v>Search Reader Options — When Query Is Short — Returns Empty Without Querying Repository</x:v>
      </x:c>
      <x:c r="H10" s="9" t="str">
        <x:v>Search Reader Options — When Query Is Short — Returns Empty Without Querying Repository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CirculationServiceTests. No live service.</x:v>
      </x:c>
      <x:c r="G11" s="9" t="str">
        <x:v>Arrange fixture and test doubles defined in CirculationServiceTests. No live service.</x:v>
      </x:c>
      <x:c r="H11" s="9" t="str">
        <x:v>Arrange fixture and test doubles defined in CirculationServiceTests.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search: " S "</x:v>
      </x:c>
      <x:c r="G12" s="9" t="str">
        <x:v>search: ""</x:v>
      </x:c>
      <x:c r="H12" s="9" t="str">
        <x:v>search: null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result.Should().BeEmpty();</x:v>
      </x:c>
      <x:c r="G13" s="9" t="str">
        <x:v>result.Should().BeEmpty();</x:v>
      </x:c>
      <x:c r="H13" s="9" t="str">
        <x:v>result.Should().BeEmpty();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apps/api/tests/SmartLibrary.UnitTests/Features/Circulation/CirculationServiceTests.cs:85</x:v>
      </x:c>
      <x:c r="G14" s="9" t="str">
        <x:v>apps/api/tests/SmartLibrary.UnitTests/Features/Circulation/CirculationServiceTests.cs:85</x:v>
      </x:c>
      <x:c r="H14" s="9" t="str">
        <x:v>apps/api/tests/SmartLibrary.UnitTests/Features/Circulation/CirculationServiceTests.cs:85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FullyQualifiedName~CirculationServiceTests.SearchReaderOptions_WhenQueryIsShort_ReturnsEmptyWithoutQueryingRepository</x:v>
      </x:c>
      <x:c r="G15" s="9" t="str">
        <x:v>dotnet test UnitTests project --filter FullyQualifiedName~CirculationServiceTests.SearchReaderOptions_WhenQueryIsShort_ReturnsEmptyWithoutQueryingRepository</x:v>
      </x:c>
      <x:c r="H15" s="9" t="str">
        <x:v>dotnet test UnitTests project --filter FullyQualifiedName~CirculationServiceTests.SearchReaderOptions_WhenQueryIsShort_ReturnsEmptyWithoutQueryingRepository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  <x:c r="G17" s="9" t="str">
        <x:v>B</x:v>
      </x:c>
      <x:c r="H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00:00:00.0134099</x:v>
      </x:c>
      <x:c r="G20" s="9" t="str">
        <x:v>00:00:00.0282014</x:v>
      </x:c>
      <x:c r="H20" s="9" t="str">
        <x:v>00:00:00.0148268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SmartLibrary.UnitTests.Features.Circulation.CirculationServiceTests.SearchReaderOptions_WhenQueryIsShort_ReturnsEmptyWithoutQueryingRepository(search: " S ")</x:v>
      </x:c>
      <x:c r="G21" s="9" t="str">
        <x:v>evidence/unit.trx :: SmartLibrary.UnitTests.Features.Circulation.CirculationServiceTests.SearchReaderOptions_WhenQueryIsShort_ReturnsEmptyWithoutQueryingRepository(search: "")</x:v>
      </x:c>
      <x:c r="H21" s="9" t="str">
        <x:v>evidence/unit.trx :: SmartLibrary.UnitTests.Features.Circulation.CirculationServiceTests.SearchReaderOptions_WhenQueryIsShort_ReturnsEmptyWithoutQueryingRepository(search: null)</x:v>
      </x:c>
    </x:row>
  </x:sheetData>
  <x:mergeCells>
    <x:mergeCell ref="A2:E2"/>
    <x:mergeCell ref="F2:H2"/>
    <x:mergeCell ref="A3:E3"/>
    <x:mergeCell ref="F3:H3"/>
    <x:mergeCell ref="A4:E4"/>
    <x:mergeCell ref="F4:H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H18">
    <x:cfRule type="containsText" dxfId="138" priority="1" operator="containsText" text="Passed"/>
    <x:cfRule type="containsText" dxfId="139" priority="2" operator="containsText" text="Failed"/>
    <x:cfRule type="containsText" dxfId="140" priority="3" operator="containsText" text="Not Tested"/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F048 — AiCredentialAlertTests.Classify</x:v>
      </x:c>
      <x:c r="G2" s="10"/>
      <x:c r="H2" s="10"/>
      <x:c r="I2" s="10"/>
      <x:c r="J2" s="10"/>
    </x:row>
    <x:row r="3">
      <x:c r="A3" t="str">
        <x:v>Source class</x:v>
      </x:c>
      <x:c r="F3" t="str">
        <x:v>AiCredentialAlertTests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COUNTIF(F18:J18,"Passed")</x:f>
        <x:v>5</x:v>
      </x:c>
      <x:c r="B7" t="n">
        <x:f>COUNTIF(F18:J18,"Failed")</x:f>
        <x:v>0</x:v>
      </x:c>
      <x:c r="C7" t="n">
        <x:f>COUNTIF(F18:J18,"Not Tested")</x:f>
        <x:v>0</x:v>
      </x:c>
      <x:c r="D7" t="n">
        <x:f>COUNTA(F9:J9)</x:f>
        <x:v>5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UT-115</x:v>
      </x:c>
      <x:c r="G9" s="5" t="str">
        <x:v>UT-116</x:v>
      </x:c>
      <x:c r="H9" s="5" t="str">
        <x:v>UT-117</x:v>
      </x:c>
      <x:c r="I9" s="5" t="str">
        <x:v>UT-118</x:v>
      </x:c>
      <x:c r="J9" s="5" t="str">
        <x:v>UT-119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Classify — Detects Key And Quota Errors</x:v>
      </x:c>
      <x:c r="G10" s="9" t="str">
        <x:v>Classify — Detects Key And Quota Errors</x:v>
      </x:c>
      <x:c r="H10" s="9" t="str">
        <x:v>Classify — Detects Key And Quota Errors</x:v>
      </x:c>
      <x:c r="I10" s="9" t="str">
        <x:v>Classify — Detects Key And Quota Errors</x:v>
      </x:c>
      <x:c r="J10" s="9" t="str">
        <x:v>Classify — Ignores Unrelated Errors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AiCredentialAlertTests. No live service.</x:v>
      </x:c>
      <x:c r="G11" s="9" t="str">
        <x:v>Arrange fixture and test doubles defined in AiCredentialAlertTests. No live service.</x:v>
      </x:c>
      <x:c r="H11" s="9" t="str">
        <x:v>Arrange fixture and test doubles defined in AiCredentialAlertTests. No live service.</x:v>
      </x:c>
      <x:c r="I11" s="9" t="str">
        <x:v>Arrange fixture and test doubles defined in AiCredentialAlertTests. No live service.</x:v>
      </x:c>
      <x:c r="J11" s="9" t="str">
        <x:v>Arrange fixture and test doubles defined in AiCredentialAlertTests.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message: "API_KEY_INVALID", expected: "ai-key"</x:v>
      </x:c>
      <x:c r="G12" s="9" t="str">
        <x:v>message: "Gemini: API Key không hợp lệ hoặc đã bị thu hồi.", expected: "ai-key"</x:v>
      </x:c>
      <x:c r="H12" s="9" t="str">
        <x:v>message: "Gemini: hết hạn mức hoặc bị giới hạn tốc độ. Thử l"···, expected: "ai-quota"</x:v>
      </x:c>
      <x:c r="I12" s="9" t="str">
        <x:v>message: "RESOURCE_EXHAUSTED quota", expected: "ai-quota"</x:v>
      </x:c>
      <x:c r="J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=&gt; AiCredentialAlert.Classify(message).Should().Be(expected);</x:v>
      </x:c>
      <x:c r="G13" s="9" t="str">
        <x:v>=&gt; AiCredentialAlert.Classify(message).Should().Be(expected);</x:v>
      </x:c>
      <x:c r="H13" s="9" t="str">
        <x:v>=&gt; AiCredentialAlert.Classify(message).Should().Be(expected);</x:v>
      </x:c>
      <x:c r="I13" s="9" t="str">
        <x:v>=&gt; AiCredentialAlert.Classify(message).Should().Be(expected);</x:v>
      </x:c>
      <x:c r="J13" s="9" t="str">
        <x:v>=&gt; AiCredentialAlert.Classify("Model embedding Gemini hiện không dùng được.").Should().BeNull();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apps/api/tests/SmartLibrary.UnitTests/Features/Notifications/AiCredentialAlertTests.cs:13</x:v>
      </x:c>
      <x:c r="G14" s="9" t="str">
        <x:v>apps/api/tests/SmartLibrary.UnitTests/Features/Notifications/AiCredentialAlertTests.cs:13</x:v>
      </x:c>
      <x:c r="H14" s="9" t="str">
        <x:v>apps/api/tests/SmartLibrary.UnitTests/Features/Notifications/AiCredentialAlertTests.cs:13</x:v>
      </x:c>
      <x:c r="I14" s="9" t="str">
        <x:v>apps/api/tests/SmartLibrary.UnitTests/Features/Notifications/AiCredentialAlertTests.cs:13</x:v>
      </x:c>
      <x:c r="J14" s="9" t="str">
        <x:v>apps/api/tests/SmartLibrary.UnitTests/Features/Notifications/AiCredentialAlertTests.cs:17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FullyQualifiedName~AiCredentialAlertTests.Classify_DetectsKeyAndQuotaErrors</x:v>
      </x:c>
      <x:c r="G15" s="9" t="str">
        <x:v>dotnet test UnitTests project --filter FullyQualifiedName~AiCredentialAlertTests.Classify_DetectsKeyAndQuotaErrors</x:v>
      </x:c>
      <x:c r="H15" s="9" t="str">
        <x:v>dotnet test UnitTests project --filter FullyQualifiedName~AiCredentialAlertTests.Classify_DetectsKeyAndQuotaErrors</x:v>
      </x:c>
      <x:c r="I15" s="9" t="str">
        <x:v>dotnet test UnitTests project --filter FullyQualifiedName~AiCredentialAlertTests.Classify_DetectsKeyAndQuotaErrors</x:v>
      </x:c>
      <x:c r="J15" s="9" t="str">
        <x:v>dotnet test UnitTests project --filter FullyQualifiedName~AiCredentialAlertTests.Classify_IgnoresUnrelatedErrors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  <x:c r="I17" s="9" t="str">
        <x:v>N</x:v>
      </x:c>
      <x:c r="J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00:00:00.0001877</x:v>
      </x:c>
      <x:c r="G20" s="9" t="str">
        <x:v>00:00:00.0055479</x:v>
      </x:c>
      <x:c r="H20" s="9" t="str">
        <x:v>00:00:00.0000118</x:v>
      </x:c>
      <x:c r="I20" s="9" t="str">
        <x:v>00:00:00.0000679</x:v>
      </x:c>
      <x:c r="J20" s="9" t="str">
        <x:v>00:00:00.0000992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SmartLibrary.UnitTests.Features.Notifications.AiCredentialAlertTests.Classify_DetectsKeyAndQuotaErrors(message: "API_KEY_INVALID", expected: "ai-key")</x:v>
      </x:c>
      <x:c r="G21" s="9" t="str">
        <x:v>evidence/unit.trx :: SmartLibrary.UnitTests.Features.Notifications.AiCredentialAlertTests.Classify_DetectsKeyAndQuotaErrors(message: "Gemini: API Key không hợp lệ hoặc đã bị thu hồi.", expected: "ai-key")</x:v>
      </x:c>
      <x:c r="H21" s="9" t="str">
        <x:v>evidence/unit.trx :: SmartLibrary.UnitTests.Features.Notifications.AiCredentialAlertTests.Classify_DetectsKeyAndQuotaErrors(message: "Gemini: hết hạn mức hoặc bị giới hạn tốc độ. Thử l"···, expected: "ai-quota")</x:v>
      </x:c>
      <x:c r="I21" s="9" t="str">
        <x:v>evidence/unit.trx :: SmartLibrary.UnitTests.Features.Notifications.AiCredentialAlertTests.Classify_DetectsKeyAndQuotaErrors(message: "RESOURCE_EXHAUSTED quota", expected: "ai-quota")</x:v>
      </x:c>
      <x:c r="J21" s="9" t="str">
        <x:v>evidence/unit.trx :: SmartLibrary.UnitTests.Features.Notifications.AiCredentialAlertTests.Classify_IgnoresUnrelatedErrors</x:v>
      </x:c>
    </x:row>
  </x:sheetData>
  <x:mergeCells>
    <x:mergeCell ref="A2:E2"/>
    <x:mergeCell ref="F2:J2"/>
    <x:mergeCell ref="A3:E3"/>
    <x:mergeCell ref="F3:J3"/>
    <x:mergeCell ref="A4:E4"/>
    <x:mergeCell ref="F4:J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J18">
    <x:cfRule type="containsText" dxfId="141" priority="1" operator="containsText" text="Passed"/>
    <x:cfRule type="containsText" dxfId="142" priority="2" operator="containsText" text="Failed"/>
    <x:cfRule type="containsText" dxfId="143" priority="3" operator="containsText" text="Not Tested"/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F049 — NotificationInboxTests.Map</x:v>
      </x:c>
      <x:c r="G2" s="10"/>
      <x:c r="H2" s="10"/>
      <x:c r="I2" s="10"/>
    </x:row>
    <x:row r="3">
      <x:c r="A3" t="str">
        <x:v>Source class</x:v>
      </x:c>
      <x:c r="F3" t="str">
        <x:v>NotificationInboxTests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UT-120</x:v>
      </x:c>
      <x:c r="G9" s="5" t="str">
        <x:v>UT-121</x:v>
      </x:c>
      <x:c r="H9" s="5" t="str">
        <x:v>UT-122</x:v>
      </x:c>
      <x:c r="I9" s="5" t="str">
        <x:v>UT-123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Map — Falls Back To Type Route — When Metadata Is Missing Or Invalid</x:v>
      </x:c>
      <x:c r="G10" s="9" t="str">
        <x:v>Map — Falls Back To Type Route — When Metadata Is Missing Or Invalid</x:v>
      </x:c>
      <x:c r="H10" s="9" t="str">
        <x:v>Map — Falls Back To Type Route — When Metadata Is Missing Or Invalid</x:v>
      </x:c>
      <x:c r="I10" s="9" t="str">
        <x:v>Map — Uses Href Stored In Metadata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NotificationInboxTests. No live service.</x:v>
      </x:c>
      <x:c r="G11" s="9" t="str">
        <x:v>Arrange fixture and test doubles defined in NotificationInboxTests. No live service.</x:v>
      </x:c>
      <x:c r="H11" s="9" t="str">
        <x:v>Arrange fixture and test doubles defined in NotificationInboxTests. No live service.</x:v>
      </x:c>
      <x:c r="I11" s="9" t="str">
        <x:v>Arrange fixture and test doubles defined in NotificationInboxTests.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type: "fine_paid", expectedHref: "/history?tab=fines"</x:v>
      </x:c>
      <x:c r="G12" s="9" t="str">
        <x:v>type: "membership_expiring", expectedHref: "/profile"</x:v>
      </x:c>
      <x:c r="H12" s="9" t="str">
        <x:v>type: "renewal", expectedHref: "/history?tab=loans"</x:v>
      </x:c>
      <x:c r="I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NotificationInbox.Map(notification).Href.Should().Be(expectedHref);</x:v>
      </x:c>
      <x:c r="G13" s="9" t="str">
        <x:v>NotificationInbox.Map(notification).Href.Should().Be(expectedHref);</x:v>
      </x:c>
      <x:c r="H13" s="9" t="str">
        <x:v>NotificationInbox.Map(notification).Href.Should().Be(expectedHref);</x:v>
      </x:c>
      <x:c r="I13" s="9" t="str">
        <x:v>result.UserId.Should().Be(notification.UserId);
result.Href.Should().Be("/books/book-id");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apps/api/tests/SmartLibrary.UnitTests/Features/Notifications/NotificationInboxTests.cs:58</x:v>
      </x:c>
      <x:c r="G14" s="9" t="str">
        <x:v>apps/api/tests/SmartLibrary.UnitTests/Features/Notifications/NotificationInboxTests.cs:58</x:v>
      </x:c>
      <x:c r="H14" s="9" t="str">
        <x:v>apps/api/tests/SmartLibrary.UnitTests/Features/Notifications/NotificationInboxTests.cs:58</x:v>
      </x:c>
      <x:c r="I14" s="9" t="str">
        <x:v>apps/api/tests/SmartLibrary.UnitTests/Features/Notifications/NotificationInboxTests.cs:39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FullyQualifiedName~NotificationInboxTests.Map_FallsBackToTypeRoute_WhenMetadataIsMissingOrInvalid</x:v>
      </x:c>
      <x:c r="G15" s="9" t="str">
        <x:v>dotnet test UnitTests project --filter FullyQualifiedName~NotificationInboxTests.Map_FallsBackToTypeRoute_WhenMetadataIsMissingOrInvalid</x:v>
      </x:c>
      <x:c r="H15" s="9" t="str">
        <x:v>dotnet test UnitTests project --filter FullyQualifiedName~NotificationInboxTests.Map_FallsBackToTypeRoute_WhenMetadataIsMissingOrInvalid</x:v>
      </x:c>
      <x:c r="I15" s="9" t="str">
        <x:v>dotnet test UnitTests project --filter FullyQualifiedName~NotificationInboxTests.Map_UsesHrefStoredInMetadata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A</x:v>
      </x:c>
      <x:c r="H17" s="9" t="str">
        <x:v>A</x:v>
      </x:c>
      <x:c r="I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00:00:00.0037556</x:v>
      </x:c>
      <x:c r="G20" s="9" t="str">
        <x:v>00:00:00.0001116</x:v>
      </x:c>
      <x:c r="H20" s="9" t="str">
        <x:v>00:00:00.0007151</x:v>
      </x:c>
      <x:c r="I20" s="9" t="str">
        <x:v>00:00:00.0022119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SmartLibrary.UnitTests.Features.Notifications.NotificationInboxTests.Map_FallsBackToTypeRoute_WhenMetadataIsMissingOrInvalid(type: "fine_paid", expectedHref: "/history?tab=fines")</x:v>
      </x:c>
      <x:c r="G21" s="9" t="str">
        <x:v>evidence/unit.trx :: SmartLibrary.UnitTests.Features.Notifications.NotificationInboxTests.Map_FallsBackToTypeRoute_WhenMetadataIsMissingOrInvalid(type: "membership_expiring", expectedHref: "/profile")</x:v>
      </x:c>
      <x:c r="H21" s="9" t="str">
        <x:v>evidence/unit.trx :: SmartLibrary.UnitTests.Features.Notifications.NotificationInboxTests.Map_FallsBackToTypeRoute_WhenMetadataIsMissingOrInvalid(type: "renewal", expectedHref: "/history?tab=loans")</x:v>
      </x:c>
      <x:c r="I21" s="9" t="str">
        <x:v>evidence/unit.trx :: SmartLibrary.UnitTests.Features.Notifications.NotificationInboxTests.Map_UsesHrefStoredInMetadata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144" priority="1" operator="containsText" text="Passed"/>
    <x:cfRule type="containsText" dxfId="145" priority="2" operator="containsText" text="Failed"/>
    <x:cfRule type="containsText" dxfId="146" priority="3" operator="containsText" text="Not Tested"/>
  </x:conditionalFormatting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F050 — NotificationInboxTests.NotifyAiCredentialAsync</x:v>
      </x:c>
      <x:c r="G2" s="10"/>
    </x:row>
    <x:row r="3">
      <x:c r="A3" t="str">
        <x:v>Source class</x:v>
      </x:c>
      <x:c r="F3" t="str">
        <x:v>NotificationInboxTests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UT-124</x:v>
      </x:c>
      <x:c r="G9" s="5" t="str">
        <x:v>UT-125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Notify Ai Credential Async — Does Not Insert When Unread Duplicate Exists</x:v>
      </x:c>
      <x:c r="G10" s="9" t="str">
        <x:v>Notify Ai Credential Async — Skips Unrelated Errors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NotificationInboxTests. No live service.</x:v>
      </x:c>
      <x:c r="G11" s="9" t="str">
        <x:v>Arrange fixture and test doubles defined in NotificationInboxTests.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Assert behavior in the source method (multi-line assertions); see source reference.</x:v>
      </x:c>
      <x:c r="G13" s="9" t="str">
        <x:v>Assert behavior in the source method (multi-line assertions); see source reference.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apps/api/tests/SmartLibrary.UnitTests/Features/Notifications/NotificationInboxTests.cs:23</x:v>
      </x:c>
      <x:c r="G14" s="9" t="str">
        <x:v>apps/api/tests/SmartLibrary.UnitTests/Features/Notifications/NotificationInboxTests.cs:12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FullyQualifiedName~NotificationInboxTests.NotifyAiCredentialAsync_DoesNotInsertWhenUnreadDuplicateExists</x:v>
      </x:c>
      <x:c r="G15" s="9" t="str">
        <x:v>dotnet test UnitTests project --filter FullyQualifiedName~NotificationInboxTests.NotifyAiCredentialAsync_SkipsUnrelatedErrors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00:00:00.0290584</x:v>
      </x:c>
      <x:c r="G20" s="9" t="str">
        <x:v>00:00:00.0762357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SmartLibrary.UnitTests.Features.Notifications.NotificationInboxTests.NotifyAiCredentialAsync_DoesNotInsertWhenUnreadDuplicateExists</x:v>
      </x:c>
      <x:c r="G21" s="9" t="str">
        <x:v>evidence/unit.trx :: SmartLibrary.UnitTests.Features.Notifications.NotificationInboxTests.NotifyAiCredentialAsync_SkipsUnrelatedErrors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47" priority="1" operator="containsText" text="Passed"/>
    <x:cfRule type="containsText" dxfId="148" priority="2" operator="containsText" text="Failed"/>
    <x:cfRule type="containsText" dxfId="149" priority="3" operator="containsText" text="Not Tested"/>
  </x:conditionalFormatting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F051 — PolicyParameterRulesTests.Validate</x:v>
      </x:c>
      <x:c r="G2" s="10"/>
      <x:c r="H2" s="10"/>
      <x:c r="I2" s="10"/>
      <x:c r="J2" s="10"/>
      <x:c r="K2" s="10"/>
    </x:row>
    <x:row r="3">
      <x:c r="A3" t="str">
        <x:v>Source class</x:v>
      </x:c>
      <x:c r="F3" t="str">
        <x:v>PolicyParameterRulesTests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COUNTIF(F18:K18,"Passed")</x:f>
        <x:v>6</x:v>
      </x:c>
      <x:c r="B7" t="n">
        <x:f>COUNTIF(F18:K18,"Failed")</x:f>
        <x:v>0</x:v>
      </x:c>
      <x:c r="C7" t="n">
        <x:f>COUNTIF(F18:K18,"Not Tested")</x:f>
        <x:v>0</x:v>
      </x:c>
      <x:c r="D7" t="n">
        <x:f>COUNTA(F9:K9)</x:f>
        <x:v>6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UT-126</x:v>
      </x:c>
      <x:c r="G9" s="5" t="str">
        <x:v>UT-127</x:v>
      </x:c>
      <x:c r="H9" s="5" t="str">
        <x:v>UT-128</x:v>
      </x:c>
      <x:c r="I9" s="5" t="str">
        <x:v>UT-129</x:v>
      </x:c>
      <x:c r="J9" s="5" t="str">
        <x:v>UT-130</x:v>
      </x:c>
      <x:c r="K9" s="5" t="str">
        <x:v>UT-131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Validate — Accepts Positive Borrow Days</x:v>
      </x:c>
      <x:c r="G10" s="9" t="str">
        <x:v>Validate — Active Borrow Duration Requires Max Days</x:v>
      </x:c>
      <x:c r="H10" s="9" t="str">
        <x:v>Validate — Active Fine Fee Accepts Legacy Fee Keys</x:v>
      </x:c>
      <x:c r="I10" s="9" t="str">
        <x:v>Validate — Active Fine Fee Requires All Fees</x:v>
      </x:c>
      <x:c r="J10" s="9" t="str">
        <x:v>Validate — Rejects Out Of Range Fee</x:v>
      </x:c>
      <x:c r="K10" s="9" t="str">
        <x:v>Validate — Rejects Zero Or Text Days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PolicyParameterRulesTests. No live service.</x:v>
      </x:c>
      <x:c r="G11" s="9" t="str">
        <x:v>Arrange fixture and test doubles defined in PolicyParameterRulesTests. No live service.</x:v>
      </x:c>
      <x:c r="H11" s="9" t="str">
        <x:v>Arrange fixture and test doubles defined in PolicyParameterRulesTests. No live service.</x:v>
      </x:c>
      <x:c r="I11" s="9" t="str">
        <x:v>Arrange fixture and test doubles defined in PolicyParameterRulesTests. No live service.</x:v>
      </x:c>
      <x:c r="J11" s="9" t="str">
        <x:v>Arrange fixture and test doubles defined in PolicyParameterRulesTests. No live service.</x:v>
      </x:c>
      <x:c r="K11" s="9" t="str">
        <x:v>Arrange fixture and test doubles defined in PolicyParameterRulesTests.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error.Should().BeNull();</x:v>
      </x:c>
      <x:c r="G13" s="9" t="str">
        <x:v>error.Should().Contain("số ngày mượn");</x:v>
      </x:c>
      <x:c r="H13" s="9" t="str">
        <x:v>error.Should().BeNull();</x:v>
      </x:c>
      <x:c r="I13" s="9" t="str">
        <x:v>error.Should().Contain("lost_book_fee");</x:v>
      </x:c>
      <x:c r="J13" s="9" t="str">
        <x:v>PolicyParameterRules.ValidateOne("damage_fee", "0").Should().Contain("từ");
PolicyParameterRules.ValidateOne("lost_book_fee", "100000001").Should().Contain("từ");
PolicyParameterRules.ValidateOne("damage_fee", "10000").Should().BeNull();</x:v>
      </x:c>
      <x:c r="K13" s="9" t="str">
        <x:v>PolicyParameterRules.ValidateOne("max_days", "0").Should().Contain("từ");
PolicyParameterRules.ValidateOne("max_days", "abc").Should().Contain("số nguyên");
PolicyParameterRules.ValidateOne("max_days", "-7").Should().Contain("từ");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apps/api/tests/SmartLibrary.UnitTests/Features/Policies/PolicyParameterRulesTests.cs:10</x:v>
      </x:c>
      <x:c r="G14" s="9" t="str">
        <x:v>apps/api/tests/SmartLibrary.UnitTests/Features/Policies/PolicyParameterRulesTests.cs:35</x:v>
      </x:c>
      <x:c r="H14" s="9" t="str">
        <x:v>apps/api/tests/SmartLibrary.UnitTests/Features/Policies/PolicyParameterRulesTests.cs:55</x:v>
      </x:c>
      <x:c r="I14" s="9" t="str">
        <x:v>apps/api/tests/SmartLibrary.UnitTests/Features/Policies/PolicyParameterRulesTests.cs:44</x:v>
      </x:c>
      <x:c r="J14" s="9" t="str">
        <x:v>apps/api/tests/SmartLibrary.UnitTests/Features/Policies/PolicyParameterRulesTests.cs:27</x:v>
      </x:c>
      <x:c r="K14" s="9" t="str">
        <x:v>apps/api/tests/SmartLibrary.UnitTests/Features/Policies/PolicyParameterRulesTests.cs:19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FullyQualifiedName~PolicyParameterRulesTests.Validate_AcceptsPositiveBorrowDays</x:v>
      </x:c>
      <x:c r="G15" s="9" t="str">
        <x:v>dotnet test UnitTests project --filter FullyQualifiedName~PolicyParameterRulesTests.Validate_ActiveBorrowDurationRequiresMaxDays</x:v>
      </x:c>
      <x:c r="H15" s="9" t="str">
        <x:v>dotnet test UnitTests project --filter FullyQualifiedName~PolicyParameterRulesTests.Validate_ActiveFineFeeAcceptsLegacyFeeKeys</x:v>
      </x:c>
      <x:c r="I15" s="9" t="str">
        <x:v>dotnet test UnitTests project --filter FullyQualifiedName~PolicyParameterRulesTests.Validate_ActiveFineFeeRequiresAllFees</x:v>
      </x:c>
      <x:c r="J15" s="9" t="str">
        <x:v>dotnet test UnitTests project --filter FullyQualifiedName~PolicyParameterRulesTests.Validate_RejectsOutOfRangeFee</x:v>
      </x:c>
      <x:c r="K15" s="9" t="str">
        <x:v>dotnet test UnitTests project --filter FullyQualifiedName~PolicyParameterRulesTests.Validate_RejectsZeroOrTextDays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  <x:c r="I17" s="9" t="str">
        <x:v>N</x:v>
      </x:c>
      <x:c r="J17" s="9" t="str">
        <x:v>A</x:v>
      </x:c>
      <x:c r="K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00:00:00.0052172</x:v>
      </x:c>
      <x:c r="G20" s="9" t="str">
        <x:v>00:00:00.0001863</x:v>
      </x:c>
      <x:c r="H20" s="9" t="str">
        <x:v>00:00:00.0002029</x:v>
      </x:c>
      <x:c r="I20" s="9" t="str">
        <x:v>00:00:00.0009269</x:v>
      </x:c>
      <x:c r="J20" s="9" t="str">
        <x:v>00:00:00.0655960</x:v>
      </x:c>
      <x:c r="K20" s="9" t="str">
        <x:v>00:00:00.0001566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SmartLibrary.UnitTests.Features.Policies.PolicyParameterRulesTests.Validate_AcceptsPositiveBorrowDays</x:v>
      </x:c>
      <x:c r="G21" s="9" t="str">
        <x:v>evidence/unit.trx :: SmartLibrary.UnitTests.Features.Policies.PolicyParameterRulesTests.Validate_ActiveBorrowDurationRequiresMaxDays</x:v>
      </x:c>
      <x:c r="H21" s="9" t="str">
        <x:v>evidence/unit.trx :: SmartLibrary.UnitTests.Features.Policies.PolicyParameterRulesTests.Validate_ActiveFineFeeAcceptsLegacyFeeKeys</x:v>
      </x:c>
      <x:c r="I21" s="9" t="str">
        <x:v>evidence/unit.trx :: SmartLibrary.UnitTests.Features.Policies.PolicyParameterRulesTests.Validate_ActiveFineFeeRequiresAllFees</x:v>
      </x:c>
      <x:c r="J21" s="9" t="str">
        <x:v>evidence/unit.trx :: SmartLibrary.UnitTests.Features.Policies.PolicyParameterRulesTests.Validate_RejectsOutOfRangeFee</x:v>
      </x:c>
      <x:c r="K21" s="9" t="str">
        <x:v>evidence/unit.trx :: SmartLibrary.UnitTests.Features.Policies.PolicyParameterRulesTests.Validate_RejectsZeroOrTextDays</x:v>
      </x:c>
    </x:row>
  </x:sheetData>
  <x:mergeCells>
    <x:mergeCell ref="A2:E2"/>
    <x:mergeCell ref="F2:K2"/>
    <x:mergeCell ref="A3:E3"/>
    <x:mergeCell ref="F3:K3"/>
    <x:mergeCell ref="A4:E4"/>
    <x:mergeCell ref="F4:K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K18">
    <x:cfRule type="containsText" dxfId="150" priority="1" operator="containsText" text="Passed"/>
    <x:cfRule type="containsText" dxfId="151" priority="2" operator="containsText" text="Failed"/>
    <x:cfRule type="containsText" dxfId="152" priority="3" operator="containsText" text="Not Tested"/>
  </x:conditionalFormatting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F052 — RagSemanticEnhancementTests.BookKeywordRanker</x:v>
      </x:c>
    </x:row>
    <x:row r="3">
      <x:c r="A3" t="str">
        <x:v>Source class</x:v>
      </x:c>
      <x:c r="F3" t="str">
        <x:v>RagSemanticEnhancementTests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UT-132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Book Keyword Ranker — Scores Higher — When Cross Lingual Synonyms Match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RagSemanticEnhancementTests.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scoreWithSynonym.Should().BeGreaterThan(0.5);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apps/api/tests/SmartLibrary.UnitTests/Features/Rag/RagSemanticEnhancementTests.cs:80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FullyQualifiedName~RagSemanticEnhancementTests.BookKeywordRanker_ScoresHigher_WhenCrossLingualSynonymsMatch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00:00:00.0119104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SmartLibrary.UnitTests.Features.Rag.RagSemanticEnhancementTests.BookKeywordRanker_ScoresHigher_WhenCrossLingualSynonymsMatch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53" priority="1" operator="containsText" text="Passed"/>
    <x:cfRule type="containsText" dxfId="154" priority="2" operator="containsText" text="Failed"/>
    <x:cfRule type="containsText" dxfId="155" priority="3" operator="containsText" text="Not Tested"/>
  </x:conditionalFormatting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F053 — RagSemanticEnhancementTests.QueryExpander</x:v>
      </x:c>
      <x:c r="G2" s="10"/>
    </x:row>
    <x:row r="3">
      <x:c r="A3" t="str">
        <x:v>Source class</x:v>
      </x:c>
      <x:c r="F3" t="str">
        <x:v>RagSemanticEnhancementTests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UT-133</x:v>
      </x:c>
      <x:c r="G9" s="5" t="str">
        <x:v>UT-134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Query Expander — Expand — Enriches Ai Query</x:v>
      </x:c>
      <x:c r="G10" s="9" t="str">
        <x:v>Query Expander — Expand — Enriches Programming Query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RagSemanticEnhancementTests. No live service.</x:v>
      </x:c>
      <x:c r="G11" s="9" t="str">
        <x:v>Arrange fixture and test doubles defined in RagSemanticEnhancementTests.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expanded.Should().Contain("artificial intelligence");
expanded.Should().Contain("machine learning");</x:v>
      </x:c>
      <x:c r="G13" s="9" t="str">
        <x:v>expanded.Should().Contain("software development");
expanded.Should().Contain("programming");
expanded.Should().StartWith("Tìm sách trong thư viện đại học phù hợp với nhu cầu sau:");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apps/api/tests/SmartLibrary.UnitTests/Features/Rag/RagSemanticEnhancementTests.cs:54</x:v>
      </x:c>
      <x:c r="G14" s="9" t="str">
        <x:v>apps/api/tests/SmartLibrary.UnitTests/Features/Rag/RagSemanticEnhancementTests.cs:45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FullyQualifiedName~RagSemanticEnhancementTests.QueryExpander_Expand_EnrichesAiQuery</x:v>
      </x:c>
      <x:c r="G15" s="9" t="str">
        <x:v>dotnet test UnitTests project --filter FullyQualifiedName~RagSemanticEnhancementTests.QueryExpander_Expand_EnrichesProgrammingQuery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00:00:00.0079884</x:v>
      </x:c>
      <x:c r="G20" s="9" t="str">
        <x:v>00:00:00.0129518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SmartLibrary.UnitTests.Features.Rag.RagSemanticEnhancementTests.QueryExpander_Expand_EnrichesAiQuery</x:v>
      </x:c>
      <x:c r="G21" s="9" t="str">
        <x:v>evidence/unit.trx :: SmartLibrary.UnitTests.Features.Rag.RagSemanticEnhancementTests.QueryExpander_Expand_EnrichesProgrammingQuery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56" priority="1" operator="containsText" text="Passed"/>
    <x:cfRule type="containsText" dxfId="157" priority="2" operator="containsText" text="Failed"/>
    <x:cfRule type="containsText" dxfId="158" priority="3" operator="containsText" text="Not Tested"/>
  </x:conditionalFormatting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F054 — RagSemanticEnhancementTests.SearchTopicGuard</x:v>
      </x:c>
    </x:row>
    <x:row r="3">
      <x:c r="A3" t="str">
        <x:v>Source class</x:v>
      </x:c>
      <x:c r="F3" t="str">
        <x:v>RagSemanticEnhancementTests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UT-135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Search Topic Guard — Allows — Matches Via Synonyms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RagSemanticEnhancementTests.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allowed.Should().BeTrue();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apps/api/tests/SmartLibrary.UnitTests/Features/Rag/RagSemanticEnhancementTests.cs:62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FullyQualifiedName~RagSemanticEnhancementTests.SearchTopicGuard_Allows_MatchesViaSynonyms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00:00:00.0204186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SmartLibrary.UnitTests.Features.Rag.RagSemanticEnhancementTests.SearchTopicGuard_Allows_MatchesViaSynonyms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59" priority="1" operator="containsText" text="Passed"/>
    <x:cfRule type="containsText" dxfId="160" priority="2" operator="containsText" text="Failed"/>
    <x:cfRule type="containsText" dxfId="161" priority="3" operator="containsText" text="Not Tested"/>
  </x:conditionalFormatting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F055 — RagSemanticEnhancementTests.SemanticSynonyms</x:v>
      </x:c>
      <x:c r="G2" s="10"/>
    </x:row>
    <x:row r="3">
      <x:c r="A3" t="str">
        <x:v>Source class</x:v>
      </x:c>
      <x:c r="F3" t="str">
        <x:v>RagSemanticEnhancementTests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UT-136</x:v>
      </x:c>
      <x:c r="G9" s="5" t="str">
        <x:v>UT-137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Semantic Synonyms — Expand — Returns Expected Synonyms</x:v>
      </x:c>
      <x:c r="G10" s="9" t="str">
        <x:v>Semantic Synonyms — Has Synonym Match — Detects Cross Lingual Match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RagSemanticEnhancementTests. No live service.</x:v>
      </x:c>
      <x:c r="G11" s="9" t="str">
        <x:v>Arrange fixture and test doubles defined in RagSemanticEnhancementTests.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synonyms.Should().Contain("programming");
synonyms.Should().Contain("software development");
dbSynonyms.Should().Contain("database");
dbSynonyms.Should().Contain("sql");
aiSynonyms.Should().Contain("artificial intelligence");
aiSynonyms.Should().Contain("machine learning");</x:v>
      </x:c>
      <x:c r="G13" s="9" t="str">
        <x:v>matched.Should().BeTrue();
aiMatched.Should().BeTrue();
unrelated.Should().BeFalse();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apps/api/tests/SmartLibrary.UnitTests/Features/Rag/RagSemanticEnhancementTests.cs:10</x:v>
      </x:c>
      <x:c r="G14" s="9" t="str">
        <x:v>apps/api/tests/SmartLibrary.UnitTests/Features/Rag/RagSemanticEnhancementTests.cs:26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FullyQualifiedName~RagSemanticEnhancementTests.SemanticSynonyms_Expand_ReturnsExpectedSynonyms</x:v>
      </x:c>
      <x:c r="G15" s="9" t="str">
        <x:v>dotnet test UnitTests project --filter FullyQualifiedName~RagSemanticEnhancementTests.SemanticSynonyms_HasSynonymMatch_DetectsCrossLingualMatch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00:00:00.0002527</x:v>
      </x:c>
      <x:c r="G20" s="9" t="str">
        <x:v>00:00:00.0654364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SmartLibrary.UnitTests.Features.Rag.RagSemanticEnhancementTests.SemanticSynonyms_Expand_ReturnsExpectedSynonyms</x:v>
      </x:c>
      <x:c r="G21" s="9" t="str">
        <x:v>evidence/unit.trx :: SmartLibrary.UnitTests.Features.Rag.RagSemanticEnhancementTests.SemanticSynonyms_HasSynonymMatch_DetectsCrossLingualMatch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62" priority="1" operator="containsText" text="Passed"/>
    <x:cfRule type="containsText" dxfId="163" priority="2" operator="containsText" text="Failed"/>
    <x:cfRule type="containsText" dxfId="164" priority="3" operator="containsText" text="Not Tested"/>
  </x:conditionalFormatting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48" hidden="0" customWidth="1"/>
    <x:col min="29" max="29" width="48" hidden="0" customWidth="1"/>
    <x:col min="30" max="30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F056 — RagServiceTests.AskAsync</x:v>
      </x:c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</x:row>
    <x:row r="3">
      <x:c r="A3" t="str">
        <x:v>Source class</x:v>
      </x:c>
      <x:c r="F3" t="str">
        <x:v>RagServiceTests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COUNTIF(F18:AD18,"Passed")</x:f>
        <x:v>25</x:v>
      </x:c>
      <x:c r="B7" t="n">
        <x:f>COUNTIF(F18:AD18,"Failed")</x:f>
        <x:v>0</x:v>
      </x:c>
      <x:c r="C7" t="n">
        <x:f>COUNTIF(F18:AD18,"Not Tested")</x:f>
        <x:v>0</x:v>
      </x:c>
      <x:c r="D7" t="n">
        <x:f>COUNTA(F9:AD9)</x:f>
        <x:v>25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UT-138</x:v>
      </x:c>
      <x:c r="G9" s="5" t="str">
        <x:v>UT-139</x:v>
      </x:c>
      <x:c r="H9" s="5" t="str">
        <x:v>UT-140</x:v>
      </x:c>
      <x:c r="I9" s="5" t="str">
        <x:v>UT-141</x:v>
      </x:c>
      <x:c r="J9" s="5" t="str">
        <x:v>UT-142</x:v>
      </x:c>
      <x:c r="K9" s="5" t="str">
        <x:v>UT-143</x:v>
      </x:c>
      <x:c r="L9" s="5" t="str">
        <x:v>UT-144</x:v>
      </x:c>
      <x:c r="M9" s="5" t="str">
        <x:v>UT-145</x:v>
      </x:c>
      <x:c r="N9" s="5" t="str">
        <x:v>UT-146</x:v>
      </x:c>
      <x:c r="O9" s="5" t="str">
        <x:v>UT-147</x:v>
      </x:c>
      <x:c r="P9" s="5" t="str">
        <x:v>UT-148</x:v>
      </x:c>
      <x:c r="Q9" s="5" t="str">
        <x:v>UT-149</x:v>
      </x:c>
      <x:c r="R9" s="5" t="str">
        <x:v>UT-150</x:v>
      </x:c>
      <x:c r="S9" s="5" t="str">
        <x:v>UT-151</x:v>
      </x:c>
      <x:c r="T9" s="5" t="str">
        <x:v>UT-152</x:v>
      </x:c>
      <x:c r="U9" s="5" t="str">
        <x:v>UT-153</x:v>
      </x:c>
      <x:c r="V9" s="5" t="str">
        <x:v>UT-154</x:v>
      </x:c>
      <x:c r="W9" s="5" t="str">
        <x:v>UT-155</x:v>
      </x:c>
      <x:c r="X9" s="5" t="str">
        <x:v>UT-156</x:v>
      </x:c>
      <x:c r="Y9" s="5" t="str">
        <x:v>UT-157</x:v>
      </x:c>
      <x:c r="Z9" s="5" t="str">
        <x:v>UT-158</x:v>
      </x:c>
      <x:c r="AA9" s="5" t="str">
        <x:v>UT-159</x:v>
      </x:c>
      <x:c r="AB9" s="5" t="str">
        <x:v>UT-160</x:v>
      </x:c>
      <x:c r="AC9" s="5" t="str">
        <x:v>UT-161</x:v>
      </x:c>
      <x:c r="AD9" s="5" t="str">
        <x:v>UT-162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Ask Async — CSharp Search Filters Unrelated Vector Hits And Expands Embedding Query</x:v>
      </x:c>
      <x:c r="G10" s="9" t="str">
        <x:v>Ask Async — English Grammar Query — Returns English Grammar</x:v>
      </x:c>
      <x:c r="H10" s="9" t="str">
        <x:v>Ask Async — English Language Learning — Uses Semantic Search And Only Returns Relevant Catalog Books</x:v>
      </x:c>
      <x:c r="I10" s="9" t="str">
        <x:v>Ask Async — Generic Semantic Query — Keeps Relevant Vector Match Without Exact Keyword Overlap</x:v>
      </x:c>
      <x:c r="J10" s="9" t="str">
        <x:v>Ask Async — Hardware And Discrete Math Prose — Returns Only Rosen In Sources</x:v>
      </x:c>
      <x:c r="K10" s="9" t="str">
        <x:v>Ask Async — Japanese Business Vocab — Keeps Matching Book</x:v>
      </x:c>
      <x:c r="L10" s="9" t="str">
        <x:v>Ask Async — Japanese Esp — Does Not Return Python Or English Grammar</x:v>
      </x:c>
      <x:c r="M10" s="9" t="str">
        <x:v>Ask Async — Japanese It — Keeps Japanese It Book Only</x:v>
      </x:c>
      <x:c r="N10" s="9" t="str">
        <x:v>Ask Async — Japanese Query — When Library Has No Japanese — Returns Empty</x:v>
      </x:c>
      <x:c r="O10" s="9" t="str">
        <x:v>Ask Async — Korean Language Learning — Finds Korean Title With English Metadata Language</x:v>
      </x:c>
      <x:c r="P10" s="9" t="str">
        <x:v>Ask Async — Python Query — Returns Python Not Japanese</x:v>
      </x:c>
      <x:c r="Q10" s="9" t="str">
        <x:v>Ask Async — Reader Book Search Without Catalog Match Or Rag Index — Returns Explicit Index Error</x:v>
      </x:c>
      <x:c r="R10" s="9" t="str">
        <x:v>Ask Async — Vague Language Query — Does Not Call Gemini</x:v>
      </x:c>
      <x:c r="S10" s="9" t="str">
        <x:v>Ask Async — When Api Key Invalid — Notifies Librarian Owner</x:v>
      </x:c>
      <x:c r="T10" s="9" t="str">
        <x:v>Ask Async — When Embed Fails — Keeps Catalog Hits</x:v>
      </x:c>
      <x:c r="U10" s="9" t="str">
        <x:v>Ask Async — When Enabled — Returns Answer And Sources</x:v>
      </x:c>
      <x:c r="V10" s="9" t="str">
        <x:v>Ask Async — When Exact Catalog Hit — Keeps Book Even Without Embedding</x:v>
      </x:c>
      <x:c r="W10" s="9" t="str">
        <x:v>Ask Async — When Hits Below Threshold — Omits Unrelated Sources</x:v>
      </x:c>
      <x:c r="X10" s="9" t="str">
        <x:v>Ask Async — When Librarian — Uses Personal Chat Model</x:v>
      </x:c>
      <x:c r="Y10" s="9" t="str">
        <x:v>Ask Async — When No Api Key — Returns Not Configured</x:v>
      </x:c>
      <x:c r="Z10" s="9" t="str">
        <x:v>Ask Async — When Question Longer Than Old Limit — Still Searches</x:v>
      </x:c>
      <x:c r="AA10" s="9" t="str">
        <x:v>Ask Async — When Rag Empty — Uses Catalog Without Embedding</x:v>
      </x:c>
      <x:c r="AB10" s="9" t="str">
        <x:v>Ask Async — When Reader Ai Disabled — Returns Failure</x:v>
      </x:c>
      <x:c r="AC10" s="9" t="str">
        <x:v>Ask Async — When Semantic Hit Is Different Topic — Returns Empty</x:v>
      </x:c>
      <x:c r="AD10" s="9" t="str">
        <x:v>Ask Async — Wide Japanese Query — Does Not Require AMajor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RagServiceTests. No live service.</x:v>
      </x:c>
      <x:c r="G11" s="9" t="str">
        <x:v>Arrange fixture and test doubles defined in RagServiceTests. No live service.</x:v>
      </x:c>
      <x:c r="H11" s="9" t="str">
        <x:v>Arrange fixture and test doubles defined in RagServiceTests. No live service.</x:v>
      </x:c>
      <x:c r="I11" s="9" t="str">
        <x:v>Arrange fixture and test doubles defined in RagServiceTests. No live service.</x:v>
      </x:c>
      <x:c r="J11" s="9" t="str">
        <x:v>Arrange fixture and test doubles defined in RagServiceTests. No live service.</x:v>
      </x:c>
      <x:c r="K11" s="9" t="str">
        <x:v>Arrange fixture and test doubles defined in RagServiceTests. No live service.</x:v>
      </x:c>
      <x:c r="L11" s="9" t="str">
        <x:v>Arrange fixture and test doubles defined in RagServiceTests. No live service.</x:v>
      </x:c>
      <x:c r="M11" s="9" t="str">
        <x:v>Arrange fixture and test doubles defined in RagServiceTests. No live service.</x:v>
      </x:c>
      <x:c r="N11" s="9" t="str">
        <x:v>Arrange fixture and test doubles defined in RagServiceTests. No live service.</x:v>
      </x:c>
      <x:c r="O11" s="9" t="str">
        <x:v>Arrange fixture and test doubles defined in RagServiceTests. No live service.</x:v>
      </x:c>
      <x:c r="P11" s="9" t="str">
        <x:v>Arrange fixture and test doubles defined in RagServiceTests. No live service.</x:v>
      </x:c>
      <x:c r="Q11" s="9" t="str">
        <x:v>Arrange fixture and test doubles defined in RagServiceTests. No live service.</x:v>
      </x:c>
      <x:c r="R11" s="9" t="str">
        <x:v>Arrange fixture and test doubles defined in RagServiceTests. No live service.</x:v>
      </x:c>
      <x:c r="S11" s="9" t="str">
        <x:v>Arrange fixture and test doubles defined in RagServiceTests. No live service.</x:v>
      </x:c>
      <x:c r="T11" s="9" t="str">
        <x:v>Arrange fixture and test doubles defined in RagServiceTests. No live service.</x:v>
      </x:c>
      <x:c r="U11" s="9" t="str">
        <x:v>Arrange fixture and test doubles defined in RagServiceTests. No live service.</x:v>
      </x:c>
      <x:c r="V11" s="9" t="str">
        <x:v>Arrange fixture and test doubles defined in RagServiceTests. No live service.</x:v>
      </x:c>
      <x:c r="W11" s="9" t="str">
        <x:v>Arrange fixture and test doubles defined in RagServiceTests. No live service.</x:v>
      </x:c>
      <x:c r="X11" s="9" t="str">
        <x:v>Arrange fixture and test doubles defined in RagServiceTests. No live service.</x:v>
      </x:c>
      <x:c r="Y11" s="9" t="str">
        <x:v>Arrange fixture and test doubles defined in RagServiceTests. No live service.</x:v>
      </x:c>
      <x:c r="Z11" s="9" t="str">
        <x:v>Arrange fixture and test doubles defined in RagServiceTests. No live service.</x:v>
      </x:c>
      <x:c r="AA11" s="9" t="str">
        <x:v>Arrange fixture and test doubles defined in RagServiceTests. No live service.</x:v>
      </x:c>
      <x:c r="AB11" s="9" t="str">
        <x:v>Arrange fixture and test doubles defined in RagServiceTests. No live service.</x:v>
      </x:c>
      <x:c r="AC11" s="9" t="str">
        <x:v>Arrange fixture and test doubles defined in RagServiceTests. No live service.</x:v>
      </x:c>
      <x:c r="AD11" s="9" t="str">
        <x:v>Arrange fixture and test doubles defined in RagServiceTests.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  <x:c r="H12" s="9" t="str">
        <x:v>Fixed Arrange fixture in source; no theory arguments.</x:v>
      </x:c>
      <x:c r="I12" s="9" t="str">
        <x:v>Fixed Arrange fixture in source; no theory arguments.</x:v>
      </x:c>
      <x:c r="J12" s="9" t="str">
        <x:v>Fixed Arrange fixture in source; no theory arguments.</x:v>
      </x:c>
      <x:c r="K12" s="9" t="str">
        <x:v>Fixed Arrange fixture in source; no theory arguments.</x:v>
      </x:c>
      <x:c r="L12" s="9" t="str">
        <x:v>Fixed Arrange fixture in source; no theory arguments.</x:v>
      </x:c>
      <x:c r="M12" s="9" t="str">
        <x:v>Fixed Arrange fixture in source; no theory arguments.</x:v>
      </x:c>
      <x:c r="N12" s="9" t="str">
        <x:v>Fixed Arrange fixture in source; no theory arguments.</x:v>
      </x:c>
      <x:c r="O12" s="9" t="str">
        <x:v>Fixed Arrange fixture in source; no theory arguments.</x:v>
      </x:c>
      <x:c r="P12" s="9" t="str">
        <x:v>Fixed Arrange fixture in source; no theory arguments.</x:v>
      </x:c>
      <x:c r="Q12" s="9" t="str">
        <x:v>Fixed Arrange fixture in source; no theory arguments.</x:v>
      </x:c>
      <x:c r="R12" s="9" t="str">
        <x:v>Fixed Arrange fixture in source; no theory arguments.</x:v>
      </x:c>
      <x:c r="S12" s="9" t="str">
        <x:v>Fixed Arrange fixture in source; no theory arguments.</x:v>
      </x:c>
      <x:c r="T12" s="9" t="str">
        <x:v>Fixed Arrange fixture in source; no theory arguments.</x:v>
      </x:c>
      <x:c r="U12" s="9" t="str">
        <x:v>Fixed Arrange fixture in source; no theory arguments.</x:v>
      </x:c>
      <x:c r="V12" s="9" t="str">
        <x:v>Fixed Arrange fixture in source; no theory arguments.</x:v>
      </x:c>
      <x:c r="W12" s="9" t="str">
        <x:v>Fixed Arrange fixture in source; no theory arguments.</x:v>
      </x:c>
      <x:c r="X12" s="9" t="str">
        <x:v>Fixed Arrange fixture in source; no theory arguments.</x:v>
      </x:c>
      <x:c r="Y12" s="9" t="str">
        <x:v>Fixed Arrange fixture in source; no theory arguments.</x:v>
      </x:c>
      <x:c r="Z12" s="9" t="str">
        <x:v>Fixed Arrange fixture in source; no theory arguments.</x:v>
      </x:c>
      <x:c r="AA12" s="9" t="str">
        <x:v>Fixed Arrange fixture in source; no theory arguments.</x:v>
      </x:c>
      <x:c r="AB12" s="9" t="str">
        <x:v>Fixed Arrange fixture in source; no theory arguments.</x:v>
      </x:c>
      <x:c r="AC12" s="9" t="str">
        <x:v>Fixed Arrange fixture in source; no theory arguments.</x:v>
      </x:c>
      <x:c r="AD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result.IsSuccess.Should().BeTrue();
result.Data!.Sources.Should().ContainSingle(source =&gt; source.Title == "C# in a Nutshell");
result.Data.Sources.Should().OnlyContain(source =&gt; source.SourceType == "book");
result.Data.Answer.Should().NotContain("Marketing");
embeddedText.Should().Contain("C# (C Sharp)");</x:v>
      </x:c>
      <x:c r="G13" s="9" t="str">
        <x:v>result.IsSuccess.Should().BeTrue();
result.Data!.Sources.Should().ContainSingle(item =&gt; item.Title == "English Grammar in Use");</x:v>
      </x:c>
      <x:c r="H13" s="9" t="str">
        <x:v>result.IsSuccess.Should().BeTrue();
result.Data!.Sources.Select(source =&gt; source.Title).Should().BeEquivalentTo(
result.Data.Answer.Should().Contain("Tìm thấy 2 đầu sách");
result.Data.Answer.Should().NotContain("Python");
result.Data.Sources.Should().OnlyContain(source =&gt; source.SourceType == "book");</x:v>
      </x:c>
      <x:c r="I13" s="9" t="str">
        <x:v>result.IsSuccess.Should().BeTrue();
result.Data!.Sources.Should().ContainSingle(source =&gt; source.Title == "Cybersecurity Fundamentals");
result.Data.Answer.Should().Contain("Cybersecurity Fundamentals");</x:v>
      </x:c>
      <x:c r="J13" s="9" t="str">
        <x:v>result.IsSuccess.Should().BeTrue();
result.Data!.Sources.Select(item =&gt; item.Title).Should()
result.Data.Answer.Should().Contain("chưa có sách về vi mạch");
result.Data.Answer.Should().Contain("Toán học rời rạc");
result.Data.Answer.Should().NotContain("hoa vàng");
result.Data.Answer.Should().NotContain("Clean Code");</x:v>
      </x:c>
      <x:c r="K13" s="9" t="str">
        <x:v>result.IsSuccess.Should().BeTrue();
result.Data!.Sources.Should().ContainSingle(item =&gt; item.Title == "Từ vựng tiếng Nhật thương mại");</x:v>
      </x:c>
      <x:c r="L13" s="9" t="str">
        <x:v>result.IsSuccess.Should().BeTrue();
result.Data!.Sources.Select(item =&gt; item.Title).Should().Equal("Giáo trình tiếng Nhật thương mại");
result.Data.Sources.Should().NotContain(item =&gt; item.Title.Contains("Python") || item.Title.Contains("English") || item.Title.Contains("Kiều"));
result.Data.Sources[0].MatchLabel.Should().Be("Phù hợp cao");</x:v>
      </x:c>
      <x:c r="M13" s="9" t="str">
        <x:v>result.IsSuccess.Should().BeTrue();
result.Data!.Sources.Select(item =&gt; item.Title).Should().Equal("Tiếng Nhật chuyên ngành CNTT");</x:v>
      </x:c>
      <x:c r="N13" s="9" t="str">
        <x:v>result.IsSuccess.Should().BeTrue();
result.Data!.Sources.Should().BeEmpty();
result.Data.Answer.Should().Contain("tiếng Nhật");</x:v>
      </x:c>
      <x:c r="O13" s="9" t="str">
        <x:v>result.IsSuccess.Should().BeTrue();
result.Data!.Sources.Should().ContainSingle(source =&gt;
result.Data.Sources.Should().OnlyContain(source =&gt; source.SourceType == "book");
result.Data.Answer.Should().Contain("Tìm thấy 1 đầu sách");</x:v>
      </x:c>
      <x:c r="P13" s="9" t="str">
        <x:v>result.IsSuccess.Should().BeTrue();
result.Data!.Sources.Should().ContainSingle(item =&gt; item.Title == "Python nâng cao");</x:v>
      </x:c>
      <x:c r="Q13" s="9" t="str">
        <x:v>result.IsSuccess.Should().BeFalse();
result.Error.Should().Contain("chưa được đồng bộ");</x:v>
      </x:c>
      <x:c r="R13" s="9" t="str">
        <x:v>result.IsSuccess.Should().BeTrue();
result.Data!.Sources.Should().BeEmpty();
result.Data.Answer.Should().Contain("ngôn ngữ nào");</x:v>
      </x:c>
      <x:c r="S13" s="9" t="str">
        <x:v>result.IsSuccess.Should().BeFalse();
result.Error.Should().Contain("API Key");</x:v>
      </x:c>
      <x:c r="T13" s="9" t="str">
        <x:v>result.IsSuccess.Should().BeTrue();
result.Data!.Sources.Should().ContainSingle(source =&gt; source.Title == "Lập trình Web");</x:v>
      </x:c>
      <x:c r="U13" s="9" t="str">
        <x:v>result.IsSuccess.Should().BeTrue();
result.Data!.Answer.Should().Contain("Lập trình Web");
result.Data.Sources.Should().ContainSingle(source =&gt; source.Title == "Lập trình Web");</x:v>
      </x:c>
      <x:c r="V13" s="9" t="str">
        <x:v>result.IsSuccess.Should().BeTrue();
result.Data!.Sources.Should().ContainSingle(source =&gt; source.Title == "Python cơ bản");
result.Data.Answer.Should().Contain("Python cơ bản");</x:v>
      </x:c>
      <x:c r="W13" s="9" t="str">
        <x:v>result.IsSuccess.Should().BeTrue();
result.Data!.Sources.Should().BeEmpty();
result.Data.Answer.Should().Contain("khớp chủ đề");</x:v>
      </x:c>
      <x:c r="X13" s="9" t="str">
        <x:v>result.IsSuccess.Should().BeTrue();</x:v>
      </x:c>
      <x:c r="Y13" s="9" t="str">
        <x:v>result.IsSuccess.Should().BeFalse();
result.Error.Should().Contain("Chưa cấu hình");</x:v>
      </x:c>
      <x:c r="Z13" s="9" t="str">
        <x:v>question.Length.Should().BeGreaterThan(1000);
result.IsSuccess.Should().BeTrue();
result.Data!.Sources.Should().ContainSingle(source =&gt; source.Title == "Python cơ bản");</x:v>
      </x:c>
      <x:c r="AA13" s="9" t="str">
        <x:v>result.IsSuccess.Should().BeTrue();
result.Data!.Answer.Should().Contain("công nghệ thông tin");
result.Data.Sources.Should().ContainSingle(source =&gt; source.Title == "Nhập môn công nghệ thông tin");</x:v>
      </x:c>
      <x:c r="AB13" s="9" t="str">
        <x:v>result.IsSuccess.Should().BeFalse();
result.Error.Should().Contain("độc giả");</x:v>
      </x:c>
      <x:c r="AC13" s="9" t="str">
        <x:v>result.IsSuccess.Should().BeTrue();
result.Data!.Sources.Should().BeEmpty();
result.Data.Answer.Should().Contain("khớp chủ đề");</x:v>
      </x:c>
      <x:c r="AD13" s="9" t="str">
        <x:v>result.IsSuccess.Should().BeTrue();
result.Data!.Sources.Should().ContainSingle(item =&gt; item.Title == "Minna no Nihongo");
result.Data.Answer.Should().Contain("chuyên ngành");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apps/api/tests/SmartLibrary.UnitTests/Features/Rag/RagServiceTests.cs:112</x:v>
      </x:c>
      <x:c r="G14" s="9" t="str">
        <x:v>apps/api/tests/SmartLibrary.UnitTests/Features/Rag/RagServiceTests.cs:905</x:v>
      </x:c>
      <x:c r="H14" s="9" t="str">
        <x:v>apps/api/tests/SmartLibrary.UnitTests/Features/Rag/RagServiceTests.cs:176</x:v>
      </x:c>
      <x:c r="I14" s="9" t="str">
        <x:v>apps/api/tests/SmartLibrary.UnitTests/Features/Rag/RagServiceTests.cs:325</x:v>
      </x:c>
      <x:c r="J14" s="9" t="str">
        <x:v>apps/api/tests/SmartLibrary.UnitTests/Features/Rag/RagServiceTests.cs:982</x:v>
      </x:c>
      <x:c r="K14" s="9" t="str">
        <x:v>apps/api/tests/SmartLibrary.UnitTests/Features/Rag/RagServiceTests.cs:867</x:v>
      </x:c>
      <x:c r="L14" s="9" t="str">
        <x:v>apps/api/tests/SmartLibrary.UnitTests/Features/Rag/RagServiceTests.cs:823</x:v>
      </x:c>
      <x:c r="M14" s="9" t="str">
        <x:v>apps/api/tests/SmartLibrary.UnitTests/Features/Rag/RagServiceTests.cs:847</x:v>
      </x:c>
      <x:c r="N14" s="9" t="str">
        <x:v>apps/api/tests/SmartLibrary.UnitTests/Features/Rag/RagServiceTests.cs:944</x:v>
      </x:c>
      <x:c r="O14" s="9" t="str">
        <x:v>apps/api/tests/SmartLibrary.UnitTests/Features/Rag/RagServiceTests.cs:272</x:v>
      </x:c>
      <x:c r="P14" s="9" t="str">
        <x:v>apps/api/tests/SmartLibrary.UnitTests/Features/Rag/RagServiceTests.cs:886</x:v>
      </x:c>
      <x:c r="Q14" s="9" t="str">
        <x:v>apps/api/tests/SmartLibrary.UnitTests/Features/Rag/RagServiceTests.cs:728</x:v>
      </x:c>
      <x:c r="R14" s="9" t="str">
        <x:v>apps/api/tests/SmartLibrary.UnitTests/Features/Rag/RagServiceTests.cs:1024</x:v>
      </x:c>
      <x:c r="S14" s="9" t="str">
        <x:v>apps/api/tests/SmartLibrary.UnitTests/Features/Rag/RagServiceTests.cs:676</x:v>
      </x:c>
      <x:c r="T14" s="9" t="str">
        <x:v>apps/api/tests/SmartLibrary.UnitTests/Features/Rag/RagServiceTests.cs:509</x:v>
      </x:c>
      <x:c r="U14" s="9" t="str">
        <x:v>apps/api/tests/SmartLibrary.UnitTests/Features/Rag/RagServiceTests.cs:64</x:v>
      </x:c>
      <x:c r="V14" s="9" t="str">
        <x:v>apps/api/tests/SmartLibrary.UnitTests/Features/Rag/RagServiceTests.cs:456</x:v>
      </x:c>
      <x:c r="W14" s="9" t="str">
        <x:v>apps/api/tests/SmartLibrary.UnitTests/Features/Rag/RagServiceTests.cs:367</x:v>
      </x:c>
      <x:c r="X14" s="9" t="str">
        <x:v>apps/api/tests/SmartLibrary.UnitTests/Features/Rag/RagServiceTests.cs:759</x:v>
      </x:c>
      <x:c r="Y14" s="9" t="str">
        <x:v>apps/api/tests/SmartLibrary.UnitTests/Features/Rag/RagServiceTests.cs:740</x:v>
      </x:c>
      <x:c r="Z14" s="9" t="str">
        <x:v>apps/api/tests/SmartLibrary.UnitTests/Features/Rag/RagServiceTests.cs:412</x:v>
      </x:c>
      <x:c r="AA14" s="9" t="str">
        <x:v>apps/api/tests/SmartLibrary.UnitTests/Features/Rag/RagServiceTests.cs:554</x:v>
      </x:c>
      <x:c r="AB14" s="9" t="str">
        <x:v>apps/api/tests/SmartLibrary.UnitTests/Features/Rag/RagServiceTests.cs:40</x:v>
      </x:c>
      <x:c r="AC14" s="9" t="str">
        <x:v>apps/api/tests/SmartLibrary.UnitTests/Features/Rag/RagServiceTests.cs:609</x:v>
      </x:c>
      <x:c r="AD14" s="9" t="str">
        <x:v>apps/api/tests/SmartLibrary.UnitTests/Features/Rag/RagServiceTests.cs:924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FullyQualifiedName~RagServiceTests.AskAsync_CSharpSearchFiltersUnrelatedVectorHitsAndExpandsEmbeddingQuery</x:v>
      </x:c>
      <x:c r="G15" s="9" t="str">
        <x:v>dotnet test UnitTests project --filter FullyQualifiedName~RagServiceTests.AskAsync_EnglishGrammarQuery_ReturnsEnglishGrammar</x:v>
      </x:c>
      <x:c r="H15" s="9" t="str">
        <x:v>dotnet test UnitTests project --filter FullyQualifiedName~RagServiceTests.AskAsync_EnglishLanguageLearning_UsesSemanticSearchAndOnlyReturnsRelevantCatalogBooks</x:v>
      </x:c>
      <x:c r="I15" s="9" t="str">
        <x:v>dotnet test UnitTests project --filter FullyQualifiedName~RagServiceTests.AskAsync_GenericSemanticQuery_KeepsRelevantVectorMatchWithoutExactKeywordOverlap</x:v>
      </x:c>
      <x:c r="J15" s="9" t="str">
        <x:v>dotnet test UnitTests project --filter FullyQualifiedName~RagServiceTests.AskAsync_HardwareAndDiscreteMathProse_ReturnsOnlyRosenInSources</x:v>
      </x:c>
      <x:c r="K15" s="9" t="str">
        <x:v>dotnet test UnitTests project --filter FullyQualifiedName~RagServiceTests.AskAsync_JapaneseBusinessVocab_KeepsMatchingBook</x:v>
      </x:c>
      <x:c r="L15" s="9" t="str">
        <x:v>dotnet test UnitTests project --filter FullyQualifiedName~RagServiceTests.AskAsync_JapaneseEsp_DoesNotReturnPythonOrEnglishGrammar</x:v>
      </x:c>
      <x:c r="M15" s="9" t="str">
        <x:v>dotnet test UnitTests project --filter FullyQualifiedName~RagServiceTests.AskAsync_JapaneseIt_KeepsJapaneseItBookOnly</x:v>
      </x:c>
      <x:c r="N15" s="9" t="str">
        <x:v>dotnet test UnitTests project --filter FullyQualifiedName~RagServiceTests.AskAsync_JapaneseQuery_WhenLibraryHasNoJapanese_ReturnsEmpty</x:v>
      </x:c>
      <x:c r="O15" s="9" t="str">
        <x:v>dotnet test UnitTests project --filter FullyQualifiedName~RagServiceTests.AskAsync_KoreanLanguageLearning_FindsKoreanTitleWithEnglishMetadataLanguage</x:v>
      </x:c>
      <x:c r="P15" s="9" t="str">
        <x:v>dotnet test UnitTests project --filter FullyQualifiedName~RagServiceTests.AskAsync_PythonQuery_ReturnsPythonNotJapanese</x:v>
      </x:c>
      <x:c r="Q15" s="9" t="str">
        <x:v>dotnet test UnitTests project --filter FullyQualifiedName~RagServiceTests.AskAsync_ReaderBookSearchWithoutCatalogMatchOrRagIndex_ReturnsExplicitIndexError</x:v>
      </x:c>
      <x:c r="R15" s="9" t="str">
        <x:v>dotnet test UnitTests project --filter FullyQualifiedName~RagServiceTests.AskAsync_VagueLanguageQuery_DoesNotCallGemini</x:v>
      </x:c>
      <x:c r="S15" s="9" t="str">
        <x:v>dotnet test UnitTests project --filter FullyQualifiedName~RagServiceTests.AskAsync_WhenApiKeyInvalid_NotifiesLibrarianOwner</x:v>
      </x:c>
      <x:c r="T15" s="9" t="str">
        <x:v>dotnet test UnitTests project --filter FullyQualifiedName~RagServiceTests.AskAsync_WhenEmbedFails_KeepsCatalogHits</x:v>
      </x:c>
      <x:c r="U15" s="9" t="str">
        <x:v>dotnet test UnitTests project --filter FullyQualifiedName~RagServiceTests.AskAsync_WhenEnabled_ReturnsAnswerAndSources</x:v>
      </x:c>
      <x:c r="V15" s="9" t="str">
        <x:v>dotnet test UnitTests project --filter FullyQualifiedName~RagServiceTests.AskAsync_WhenExactCatalogHit_KeepsBookEvenWithoutEmbedding</x:v>
      </x:c>
      <x:c r="W15" s="9" t="str">
        <x:v>dotnet test UnitTests project --filter FullyQualifiedName~RagServiceTests.AskAsync_WhenHitsBelowThreshold_OmitsUnrelatedSources</x:v>
      </x:c>
      <x:c r="X15" s="9" t="str">
        <x:v>dotnet test UnitTests project --filter FullyQualifiedName~RagServiceTests.AskAsync_WhenLibrarian_UsesPersonalChatModel</x:v>
      </x:c>
      <x:c r="Y15" s="9" t="str">
        <x:v>dotnet test UnitTests project --filter FullyQualifiedName~RagServiceTests.AskAsync_WhenNoApiKey_ReturnsNotConfigured</x:v>
      </x:c>
      <x:c r="Z15" s="9" t="str">
        <x:v>dotnet test UnitTests project --filter FullyQualifiedName~RagServiceTests.AskAsync_WhenQuestionLongerThanOldLimit_StillSearches</x:v>
      </x:c>
      <x:c r="AA15" s="9" t="str">
        <x:v>dotnet test UnitTests project --filter FullyQualifiedName~RagServiceTests.AskAsync_WhenRagEmpty_UsesCatalogWithoutEmbedding</x:v>
      </x:c>
      <x:c r="AB15" s="9" t="str">
        <x:v>dotnet test UnitTests project --filter FullyQualifiedName~RagServiceTests.AskAsync_WhenReaderAiDisabled_ReturnsFailure</x:v>
      </x:c>
      <x:c r="AC15" s="9" t="str">
        <x:v>dotnet test UnitTests project --filter FullyQualifiedName~RagServiceTests.AskAsync_WhenSemanticHitIsDifferentTopic_ReturnsEmpty</x:v>
      </x:c>
      <x:c r="AD15" s="9" t="str">
        <x:v>dotnet test UnitTests project --filter FullyQualifiedName~RagServiceTests.AskAsync_WideJapaneseQuery_DoesNotRequireAMajor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  <x:c r="J16" s="9" t="str">
        <x:v>No test failure logged; expected exceptions are asserted in source.</x:v>
      </x:c>
      <x:c r="K16" s="9" t="str">
        <x:v>No test failure logged; expected exceptions are asserted in source.</x:v>
      </x:c>
      <x:c r="L16" s="9" t="str">
        <x:v>No test failure logged; expected exceptions are asserted in source.</x:v>
      </x:c>
      <x:c r="M16" s="9" t="str">
        <x:v>No test failure logged; expected exceptions are asserted in source.</x:v>
      </x:c>
      <x:c r="N16" s="9" t="str">
        <x:v>No test failure logged; expected exceptions are asserted in source.</x:v>
      </x:c>
      <x:c r="O16" s="9" t="str">
        <x:v>No test failure logged; expected exceptions are asserted in source.</x:v>
      </x:c>
      <x:c r="P16" s="9" t="str">
        <x:v>No test failure logged; expected exceptions are asserted in source.</x:v>
      </x:c>
      <x:c r="Q16" s="9" t="str">
        <x:v>No test failure logged; expected exceptions are asserted in source.</x:v>
      </x:c>
      <x:c r="R16" s="9" t="str">
        <x:v>No test failure logged; expected exceptions are asserted in source.</x:v>
      </x:c>
      <x:c r="S16" s="9" t="str">
        <x:v>No test failure logged; expected exceptions are asserted in source.</x:v>
      </x:c>
      <x:c r="T16" s="9" t="str">
        <x:v>No test failure logged; expected exceptions are asserted in source.</x:v>
      </x:c>
      <x:c r="U16" s="9" t="str">
        <x:v>No test failure logged; expected exceptions are asserted in source.</x:v>
      </x:c>
      <x:c r="V16" s="9" t="str">
        <x:v>No test failure logged; expected exceptions are asserted in source.</x:v>
      </x:c>
      <x:c r="W16" s="9" t="str">
        <x:v>No test failure logged; expected exceptions are asserted in source.</x:v>
      </x:c>
      <x:c r="X16" s="9" t="str">
        <x:v>No test failure logged; expected exceptions are asserted in source.</x:v>
      </x:c>
      <x:c r="Y16" s="9" t="str">
        <x:v>No test failure logged; expected exceptions are asserted in source.</x:v>
      </x:c>
      <x:c r="Z16" s="9" t="str">
        <x:v>No test failure logged; expected exceptions are asserted in source.</x:v>
      </x:c>
      <x:c r="AA16" s="9" t="str">
        <x:v>No test failure logged; expected exceptions are asserted in source.</x:v>
      </x:c>
      <x:c r="AB16" s="9" t="str">
        <x:v>No test failure logged; expected exceptions are asserted in source.</x:v>
      </x:c>
      <x:c r="AC16" s="9" t="str">
        <x:v>No test failure logged; expected exceptions are asserted in source.</x:v>
      </x:c>
      <x:c r="AD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  <x:c r="H17" s="9" t="str">
        <x:v>N</x:v>
      </x:c>
      <x:c r="I17" s="9" t="str">
        <x:v>N</x:v>
      </x:c>
      <x:c r="J17" s="9" t="str">
        <x:v>N</x:v>
      </x:c>
      <x:c r="K17" s="9" t="str">
        <x:v>N</x:v>
      </x:c>
      <x:c r="L17" s="9" t="str">
        <x:v>N</x:v>
      </x:c>
      <x:c r="M17" s="9" t="str">
        <x:v>N</x:v>
      </x:c>
      <x:c r="N17" s="9" t="str">
        <x:v>B</x:v>
      </x:c>
      <x:c r="O17" s="9" t="str">
        <x:v>N</x:v>
      </x:c>
      <x:c r="P17" s="9" t="str">
        <x:v>N</x:v>
      </x:c>
      <x:c r="Q17" s="9" t="str">
        <x:v>N</x:v>
      </x:c>
      <x:c r="R17" s="9" t="str">
        <x:v>N</x:v>
      </x:c>
      <x:c r="S17" s="9" t="str">
        <x:v>A</x:v>
      </x:c>
      <x:c r="T17" s="9" t="str">
        <x:v>A</x:v>
      </x:c>
      <x:c r="U17" s="9" t="str">
        <x:v>N</x:v>
      </x:c>
      <x:c r="V17" s="9" t="str">
        <x:v>N</x:v>
      </x:c>
      <x:c r="W17" s="9" t="str">
        <x:v>N</x:v>
      </x:c>
      <x:c r="X17" s="9" t="str">
        <x:v>N</x:v>
      </x:c>
      <x:c r="Y17" s="9" t="str">
        <x:v>N</x:v>
      </x:c>
      <x:c r="Z17" s="9" t="str">
        <x:v>B</x:v>
      </x:c>
      <x:c r="AA17" s="9" t="str">
        <x:v>B</x:v>
      </x:c>
      <x:c r="AB17" s="9" t="str">
        <x:v>A</x:v>
      </x:c>
      <x:c r="AC17" s="9" t="str">
        <x:v>B</x:v>
      </x:c>
      <x:c r="AD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  <x:c r="J18" s="9" t="str">
        <x:v>Passed</x:v>
      </x:c>
      <x:c r="K18" s="9" t="str">
        <x:v>Passed</x:v>
      </x:c>
      <x:c r="L18" s="9" t="str">
        <x:v>Passed</x:v>
      </x:c>
      <x:c r="M18" s="9" t="str">
        <x:v>Passed</x:v>
      </x:c>
      <x:c r="N18" s="9" t="str">
        <x:v>Passed</x:v>
      </x:c>
      <x:c r="O18" s="9" t="str">
        <x:v>Passed</x:v>
      </x:c>
      <x:c r="P18" s="9" t="str">
        <x:v>Passed</x:v>
      </x:c>
      <x:c r="Q18" s="9" t="str">
        <x:v>Passed</x:v>
      </x:c>
      <x:c r="R18" s="9" t="str">
        <x:v>Passed</x:v>
      </x:c>
      <x:c r="S18" s="9" t="str">
        <x:v>Passed</x:v>
      </x:c>
      <x:c r="T18" s="9" t="str">
        <x:v>Passed</x:v>
      </x:c>
      <x:c r="U18" s="9" t="str">
        <x:v>Passed</x:v>
      </x:c>
      <x:c r="V18" s="9" t="str">
        <x:v>Passed</x:v>
      </x:c>
      <x:c r="W18" s="9" t="str">
        <x:v>Passed</x:v>
      </x:c>
      <x:c r="X18" s="9" t="str">
        <x:v>Passed</x:v>
      </x:c>
      <x:c r="Y18" s="9" t="str">
        <x:v>Passed</x:v>
      </x:c>
      <x:c r="Z18" s="9" t="str">
        <x:v>Passed</x:v>
      </x:c>
      <x:c r="AA18" s="9" t="str">
        <x:v>Passed</x:v>
      </x:c>
      <x:c r="AB18" s="9" t="str">
        <x:v>Passed</x:v>
      </x:c>
      <x:c r="AC18" s="9" t="str">
        <x:v>Passed</x:v>
      </x:c>
      <x:c r="AD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  <x:c r="J19" s="9" t="str">
        <x:v>2026-10-27</x:v>
      </x:c>
      <x:c r="K19" s="9" t="str">
        <x:v>2026-10-27</x:v>
      </x:c>
      <x:c r="L19" s="9" t="str">
        <x:v>2026-10-27</x:v>
      </x:c>
      <x:c r="M19" s="9" t="str">
        <x:v>2026-10-27</x:v>
      </x:c>
      <x:c r="N19" s="9" t="str">
        <x:v>2026-10-27</x:v>
      </x:c>
      <x:c r="O19" s="9" t="str">
        <x:v>2026-10-27</x:v>
      </x:c>
      <x:c r="P19" s="9" t="str">
        <x:v>2026-10-27</x:v>
      </x:c>
      <x:c r="Q19" s="9" t="str">
        <x:v>2026-10-27</x:v>
      </x:c>
      <x:c r="R19" s="9" t="str">
        <x:v>2026-10-27</x:v>
      </x:c>
      <x:c r="S19" s="9" t="str">
        <x:v>2026-10-27</x:v>
      </x:c>
      <x:c r="T19" s="9" t="str">
        <x:v>2026-10-27</x:v>
      </x:c>
      <x:c r="U19" s="9" t="str">
        <x:v>2026-10-27</x:v>
      </x:c>
      <x:c r="V19" s="9" t="str">
        <x:v>2026-10-27</x:v>
      </x:c>
      <x:c r="W19" s="9" t="str">
        <x:v>2026-10-27</x:v>
      </x:c>
      <x:c r="X19" s="9" t="str">
        <x:v>2026-10-27</x:v>
      </x:c>
      <x:c r="Y19" s="9" t="str">
        <x:v>2026-10-27</x:v>
      </x:c>
      <x:c r="Z19" s="9" t="str">
        <x:v>2026-10-27</x:v>
      </x:c>
      <x:c r="AA19" s="9" t="str">
        <x:v>2026-10-27</x:v>
      </x:c>
      <x:c r="AB19" s="9" t="str">
        <x:v>2026-10-27</x:v>
      </x:c>
      <x:c r="AC19" s="9" t="str">
        <x:v>2026-10-27</x:v>
      </x:c>
      <x:c r="AD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00:00:00.0220648</x:v>
      </x:c>
      <x:c r="G20" s="9" t="str">
        <x:v>00:00:00.0070745</x:v>
      </x:c>
      <x:c r="H20" s="9" t="str">
        <x:v>00:00:00.1101943</x:v>
      </x:c>
      <x:c r="I20" s="9" t="str">
        <x:v>00:00:00.0071209</x:v>
      </x:c>
      <x:c r="J20" s="9" t="str">
        <x:v>00:00:00.0108731</x:v>
      </x:c>
      <x:c r="K20" s="9" t="str">
        <x:v>00:00:00.0048932</x:v>
      </x:c>
      <x:c r="L20" s="9" t="str">
        <x:v>00:00:00.0076563</x:v>
      </x:c>
      <x:c r="M20" s="9" t="str">
        <x:v>00:00:00.0053947</x:v>
      </x:c>
      <x:c r="N20" s="9" t="str">
        <x:v>00:00:00.0124126</x:v>
      </x:c>
      <x:c r="O20" s="9" t="str">
        <x:v>00:00:00.0114293</x:v>
      </x:c>
      <x:c r="P20" s="9" t="str">
        <x:v>00:00:00.0151017</x:v>
      </x:c>
      <x:c r="Q20" s="9" t="str">
        <x:v>00:00:00.0052578</x:v>
      </x:c>
      <x:c r="R20" s="9" t="str">
        <x:v>00:00:00.0061823</x:v>
      </x:c>
      <x:c r="S20" s="9" t="str">
        <x:v>00:00:00.0154969</x:v>
      </x:c>
      <x:c r="T20" s="9" t="str">
        <x:v>00:00:00.0095005</x:v>
      </x:c>
      <x:c r="U20" s="9" t="str">
        <x:v>00:00:00.0082033</x:v>
      </x:c>
      <x:c r="V20" s="9" t="str">
        <x:v>00:00:00.0130613</x:v>
      </x:c>
      <x:c r="W20" s="9" t="str">
        <x:v>00:00:00.0133574</x:v>
      </x:c>
      <x:c r="X20" s="9" t="str">
        <x:v>00:00:00.0088250</x:v>
      </x:c>
      <x:c r="Y20" s="9" t="str">
        <x:v>00:00:00.0033339</x:v>
      </x:c>
      <x:c r="Z20" s="9" t="str">
        <x:v>00:00:00.2550286</x:v>
      </x:c>
      <x:c r="AA20" s="9" t="str">
        <x:v>00:00:00.0421514</x:v>
      </x:c>
      <x:c r="AB20" s="9" t="str">
        <x:v>00:00:00.0046869</x:v>
      </x:c>
      <x:c r="AC20" s="9" t="str">
        <x:v>00:00:00.0190030</x:v>
      </x:c>
      <x:c r="AD20" s="9" t="str">
        <x:v>00:00:00.0135410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SmartLibrary.UnitTests.Features.Rag.RagServiceTests.AskAsync_CSharpSearchFiltersUnrelatedVectorHitsAndExpandsEmbeddingQuery</x:v>
      </x:c>
      <x:c r="G21" s="9" t="str">
        <x:v>evidence/unit.trx :: SmartLibrary.UnitTests.Features.Rag.RagServiceTests.AskAsync_EnglishGrammarQuery_ReturnsEnglishGrammar</x:v>
      </x:c>
      <x:c r="H21" s="9" t="str">
        <x:v>evidence/unit.trx :: SmartLibrary.UnitTests.Features.Rag.RagServiceTests.AskAsync_EnglishLanguageLearning_UsesSemanticSearchAndOnlyReturnsRelevantCatalogBooks</x:v>
      </x:c>
      <x:c r="I21" s="9" t="str">
        <x:v>evidence/unit.trx :: SmartLibrary.UnitTests.Features.Rag.RagServiceTests.AskAsync_GenericSemanticQuery_KeepsRelevantVectorMatchWithoutExactKeywordOverlap</x:v>
      </x:c>
      <x:c r="J21" s="9" t="str">
        <x:v>evidence/unit.trx :: SmartLibrary.UnitTests.Features.Rag.RagServiceTests.AskAsync_HardwareAndDiscreteMathProse_ReturnsOnlyRosenInSources</x:v>
      </x:c>
      <x:c r="K21" s="9" t="str">
        <x:v>evidence/unit.trx :: SmartLibrary.UnitTests.Features.Rag.RagServiceTests.AskAsync_JapaneseBusinessVocab_KeepsMatchingBook</x:v>
      </x:c>
      <x:c r="L21" s="9" t="str">
        <x:v>evidence/unit.trx :: SmartLibrary.UnitTests.Features.Rag.RagServiceTests.AskAsync_JapaneseEsp_DoesNotReturnPythonOrEnglishGrammar</x:v>
      </x:c>
      <x:c r="M21" s="9" t="str">
        <x:v>evidence/unit.trx :: SmartLibrary.UnitTests.Features.Rag.RagServiceTests.AskAsync_JapaneseIt_KeepsJapaneseItBookOnly</x:v>
      </x:c>
      <x:c r="N21" s="9" t="str">
        <x:v>evidence/unit.trx :: SmartLibrary.UnitTests.Features.Rag.RagServiceTests.AskAsync_JapaneseQuery_WhenLibraryHasNoJapanese_ReturnsEmpty</x:v>
      </x:c>
      <x:c r="O21" s="9" t="str">
        <x:v>evidence/unit.trx :: SmartLibrary.UnitTests.Features.Rag.RagServiceTests.AskAsync_KoreanLanguageLearning_FindsKoreanTitleWithEnglishMetadataLanguage</x:v>
      </x:c>
      <x:c r="P21" s="9" t="str">
        <x:v>evidence/unit.trx :: SmartLibrary.UnitTests.Features.Rag.RagServiceTests.AskAsync_PythonQuery_ReturnsPythonNotJapanese</x:v>
      </x:c>
      <x:c r="Q21" s="9" t="str">
        <x:v>evidence/unit.trx :: SmartLibrary.UnitTests.Features.Rag.RagServiceTests.AskAsync_ReaderBookSearchWithoutCatalogMatchOrRagIndex_ReturnsExplicitIndexError</x:v>
      </x:c>
      <x:c r="R21" s="9" t="str">
        <x:v>evidence/unit.trx :: SmartLibrary.UnitTests.Features.Rag.RagServiceTests.AskAsync_VagueLanguageQuery_DoesNotCallGemini</x:v>
      </x:c>
      <x:c r="S21" s="9" t="str">
        <x:v>evidence/unit.trx :: SmartLibrary.UnitTests.Features.Rag.RagServiceTests.AskAsync_WhenApiKeyInvalid_NotifiesLibrarianOwner</x:v>
      </x:c>
      <x:c r="T21" s="9" t="str">
        <x:v>evidence/unit.trx :: SmartLibrary.UnitTests.Features.Rag.RagServiceTests.AskAsync_WhenEmbedFails_KeepsCatalogHits</x:v>
      </x:c>
      <x:c r="U21" s="9" t="str">
        <x:v>evidence/unit.trx :: SmartLibrary.UnitTests.Features.Rag.RagServiceTests.AskAsync_WhenEnabled_ReturnsAnswerAndSources</x:v>
      </x:c>
      <x:c r="V21" s="9" t="str">
        <x:v>evidence/unit.trx :: SmartLibrary.UnitTests.Features.Rag.RagServiceTests.AskAsync_WhenExactCatalogHit_KeepsBookEvenWithoutEmbedding</x:v>
      </x:c>
      <x:c r="W21" s="9" t="str">
        <x:v>evidence/unit.trx :: SmartLibrary.UnitTests.Features.Rag.RagServiceTests.AskAsync_WhenHitsBelowThreshold_OmitsUnrelatedSources</x:v>
      </x:c>
      <x:c r="X21" s="9" t="str">
        <x:v>evidence/unit.trx :: SmartLibrary.UnitTests.Features.Rag.RagServiceTests.AskAsync_WhenLibrarian_UsesPersonalChatModel</x:v>
      </x:c>
      <x:c r="Y21" s="9" t="str">
        <x:v>evidence/unit.trx :: SmartLibrary.UnitTests.Features.Rag.RagServiceTests.AskAsync_WhenNoApiKey_ReturnsNotConfigured</x:v>
      </x:c>
      <x:c r="Z21" s="9" t="str">
        <x:v>evidence/unit.trx :: SmartLibrary.UnitTests.Features.Rag.RagServiceTests.AskAsync_WhenQuestionLongerThanOldLimit_StillSearches</x:v>
      </x:c>
      <x:c r="AA21" s="9" t="str">
        <x:v>evidence/unit.trx :: SmartLibrary.UnitTests.Features.Rag.RagServiceTests.AskAsync_WhenRagEmpty_UsesCatalogWithoutEmbedding</x:v>
      </x:c>
      <x:c r="AB21" s="9" t="str">
        <x:v>evidence/unit.trx :: SmartLibrary.UnitTests.Features.Rag.RagServiceTests.AskAsync_WhenReaderAiDisabled_ReturnsFailure</x:v>
      </x:c>
      <x:c r="AC21" s="9" t="str">
        <x:v>evidence/unit.trx :: SmartLibrary.UnitTests.Features.Rag.RagServiceTests.AskAsync_WhenSemanticHitIsDifferentTopic_ReturnsEmpty</x:v>
      </x:c>
      <x:c r="AD21" s="9" t="str">
        <x:v>evidence/unit.trx :: SmartLibrary.UnitTests.Features.Rag.RagServiceTests.AskAsync_WideJapaneseQuery_DoesNotRequireAMajor</x:v>
      </x:c>
    </x:row>
  </x:sheetData>
  <x:mergeCells>
    <x:mergeCell ref="A2:E2"/>
    <x:mergeCell ref="F2:AD2"/>
    <x:mergeCell ref="A3:E3"/>
    <x:mergeCell ref="F3:AD3"/>
    <x:mergeCell ref="A4:E4"/>
    <x:mergeCell ref="F4:AD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AD18">
    <x:cfRule type="containsText" dxfId="165" priority="1" operator="containsText" text="Passed"/>
    <x:cfRule type="containsText" dxfId="166" priority="2" operator="containsText" text="Failed"/>
    <x:cfRule type="containsText" dxfId="167" priority="3" operator="containsText" text="Not Tested"/>
  </x:conditionalFormatting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F057 — RagServiceTests.ReindexAsync</x:v>
      </x:c>
    </x:row>
    <x:row r="3">
      <x:c r="A3" t="str">
        <x:v>Source class</x:v>
      </x:c>
      <x:c r="F3" t="str">
        <x:v>RagServiceTests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Reindex Async — When Librarian — Returns Forbidden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result.Error.Should().Contain("Admin");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apps/api/tests/SmartLibrary.UnitTests/Features/Rag/RagServiceTests.cs:654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FullyQualifiedName~RagServiceTests.ReindexAsync_WhenLibrarian_ReturnsForbidden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00:00:00.0087364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SmartLibrary.UnitTests.Features.Rag.RagServiceTests.ReindexAsync_WhenLibrarian_ReturnsForbidden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68" priority="1" operator="containsText" text="Passed"/>
    <x:cfRule type="containsText" dxfId="169" priority="2" operator="containsText" text="Failed"/>
    <x:cfRule type="containsText" dxfId="170" priority="3" operator="containsText" text="Not Tested"/>
  </x:conditionalFormatting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F058 — RagServiceTests.SuggestAcquisitionsAsync</x:v>
      </x:c>
    </x:row>
    <x:row r="3">
      <x:c r="A3" t="str">
        <x:v>Source class</x:v>
      </x:c>
      <x:c r="F3" t="str">
        <x:v>RagServiceTests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Suggest Acquisitions Async — When Disabled — Returns Failure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RagServiceTests.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result.IsSuccess.Should().BeFalse();
result.Error.Should().Contain("tắt");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apps/api/tests/SmartLibrary.UnitTests/Features/Rag/RagServiceTests.cs:664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FullyQualifiedName~RagServiceTests.SuggestAcquisitionsAsync_WhenDisabled_ReturnsFailure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00:00:00.0045798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SmartLibrary.UnitTests.Features.Rag.RagServiceTests.SuggestAcquisitionsAsync_WhenDisabled_ReturnsFailure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71" priority="1" operator="containsText" text="Passed"/>
    <x:cfRule type="containsText" dxfId="172" priority="2" operator="containsText" text="Failed"/>
    <x:cfRule type="containsText" dxfId="173" priority="3" operator="containsText" text="Not Tested"/>
  </x:conditionalFormatting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F059 — RealCatalogTopicTests.CompoundAuthorAndForeignLanguage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Compound Author And Foreign Language — Returns Both Not Python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titles.Should().Contain("Tôi thấy hoa vàng trên cỏ xanh");
titles.Should().Contain("English Grammar in Use (Advanced Edition)");
titles.Should().NotContain("Python nâng cao");
titles.Should().NotContain("Python cơ bản");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apps/api/tests/SmartLibrary.UnitTests/Features/Rag/RealCatalogTopicTests.cs:109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FullyQualifiedName~RealCatalogTopicTests.CompoundAuthorAndForeignLanguage_ReturnsBothNotPython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00:00:00.0031273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SmartLibrary.UnitTests.Features.Rag.RealCatalogTopicTests.CompoundAuthorAndForeignLanguage_ReturnsBothNotPython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74" priority="1" operator="containsText" text="Passed"/>
    <x:cfRule type="containsText" dxfId="175" priority="2" operator="containsText" text="Failed"/>
    <x:cfRule type="containsText" dxfId="176" priority="3" operator="containsText" text="Not Tested"/>
  </x:conditionalFormatting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F060 — RealCatalogTopicTests.CompoundPythonAndCleanCode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Compound Python And Clean Code — Returns Both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titles.Should().Contain("Python nâng cao");
titles.Should().Contain("Clean Code: A Handbook of Agile Software Craftsmanship");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apps/api/tests/SmartLibrary.UnitTests/Features/Rag/RealCatalogTopicTests.cs:119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FullyQualifiedName~RealCatalogTopicTests.CompoundPythonAndCleanCode_ReturnsBoth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00:00:00.0020482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SmartLibrary.UnitTests.Features.Rag.RealCatalogTopicTests.CompoundPythonAndCleanCode_ReturnsBoth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77" priority="1" operator="containsText" text="Passed"/>
    <x:cfRule type="containsText" dxfId="178" priority="2" operator="containsText" text="Failed"/>
    <x:cfRule type="containsText" dxfId="179" priority="3" operator="containsText" text="Not Tested"/>
  </x:conditionalFormatting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F061 — RealCatalogTopicTests.EnglishGrammar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English Grammar — Returns Murphy Not Python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Matches("Tìm sách ngữ pháp tiếng Anh.").Should().Equal("English Grammar in Use (Advanced Edition)");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apps/api/tests/SmartLibrary.UnitTests/Features/Rag/RealCatalogTopicTests.cs:47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FullyQualifiedName~RealCatalogTopicTests.EnglishGrammar_ReturnsMurphyNotPython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00:00:00.0016087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SmartLibrary.UnitTests.Features.Rag.RealCatalogTopicTests.EnglishGrammar_ReturnsMurphyNotPython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80" priority="1" operator="containsText" text="Passed"/>
    <x:cfRule type="containsText" dxfId="181" priority="2" operator="containsText" text="Failed"/>
    <x:cfRule type="containsText" dxfId="182" priority="3" operator="containsText" text="Not Tested"/>
  </x:conditionalFormatting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F062 — RealCatalogTopicTests.EnglishLanguageLearningQuery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English Language Learning Query — Does Not Return Unrelated Books Written In English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.Should().Equal("English Grammar in Use (Advanced Edition)");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apps/api/tests/SmartLibrary.UnitTests/Features/Rag/RealCatalogTopicTests.cs:53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FullyQualifiedName~RealCatalogTopicTests.EnglishLanguageLearningQuery_DoesNotReturnUnrelatedBooksWrittenInEnglish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00:00:00.0014924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SmartLibrary.UnitTests.Features.Rag.RealCatalogTopicTests.EnglishLanguageLearningQuery_DoesNotReturnUnrelatedBooksWrittenInEnglish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83" priority="1" operator="containsText" text="Passed"/>
    <x:cfRule type="containsText" dxfId="184" priority="2" operator="containsText" text="Failed"/>
    <x:cfRule type="containsText" dxfId="185" priority="3" operator="containsText" text="Not Tested"/>
  </x:conditionalFormatting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F063 — RealCatalogTopicTests.ExactIsbn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UT-169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Exact Isbn — Returns Clean Code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Matches("9780132350884").Should().Equal("Clean Code: A Handbook of Agile Software Craftsmanship");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apps/api/tests/SmartLibrary.UnitTests/Features/Rag/RealCatalogTopicTests.cs:89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FullyQualifiedName~RealCatalogTopicTests.ExactIsbn_ReturnsCleanCode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00:00:00.0705768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SmartLibrary.UnitTests.Features.Rag.RealCatalogTopicTests.ExactIsbn_ReturnsCleanCode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86" priority="1" operator="containsText" text="Passed"/>
    <x:cfRule type="containsText" dxfId="187" priority="2" operator="containsText" text="Failed"/>
    <x:cfRule type="containsText" dxfId="188" priority="3" operator="containsText" text="Not Tested"/>
  </x:conditionalFormatting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F064 — RealCatalogTopicTests.ExactTitle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Exact Title — Returns Clean Code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Matches("Clean Code").Should().Contain("Clean Code: A Handbook of Agile Software Craftsmanship");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apps/api/tests/SmartLibrary.UnitTests/Features/Rag/RealCatalogTopicTests.cs:95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FullyQualifiedName~RealCatalogTopicTests.ExactTitle_ReturnsCleanCode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00:00:00.0013852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SmartLibrary.UnitTests.Features.Rag.RealCatalogTopicTests.ExactTitle_ReturnsCleanCode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89" priority="1" operator="containsText" text="Passed"/>
    <x:cfRule type="containsText" dxfId="190" priority="2" operator="containsText" text="Failed"/>
    <x:cfRule type="containsText" dxfId="191" priority="3" operator="containsText" text="Not Tested"/>
  </x:conditionalFormatting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F065 — RealCatalogTopicTests.FiveBooks</x:v>
      </x:c>
      <x:c r="G2" s="10"/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COUNTIF(F18:G18,"Passed")</x:f>
        <x:v>2</x:v>
      </x:c>
      <x:c r="B7" t="n">
        <x:f>COUNTIF(F18:G18,"Failed")</x:f>
        <x:v>0</x:v>
      </x:c>
      <x:c r="C7" t="n">
        <x:f>COUNTIF(F18:G18,"Not Tested")</x:f>
        <x:v>0</x:v>
      </x:c>
      <x:c r="D7" t="n">
        <x:f>COUNTA(F9:G9)</x:f>
        <x:v>2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UT-171</x:v>
      </x:c>
      <x:c r="G9" s="5" t="str">
        <x:v>UT-172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Five Books — Comma Separated — Returns Each Named Book</x:v>
      </x:c>
      <x:c r="G10" s="9" t="str">
        <x:v>Five Books — Messy Wording Without And — Still Finds Named Books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  <x:c r="G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  <x:c r="G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titles.Should().Contain("Python nâng cao");
titles.Should().Contain("Clean Code: A Handbook of Agile Software Craftsmanship");
titles.Should().Contain("Refactoring: Improving the Design of Existing Code");
titles.Should().Contain("English Grammar in Use (Advanced Edition)");
titles.Should().Contain("Tôi thấy hoa vàng trên cỏ xanh");
titles.Should().NotContain("Digital Marketing Thực Chiến");</x:v>
      </x:c>
      <x:c r="G13" s="9" t="str">
        <x:v>titles.Should().Contain("Python nâng cao");
titles.Should().Contain("Clean Code: A Handbook of Agile Software Craftsmanship");
titles.Should().Contain("Refactoring: Improving the Design of Existing Code");
titles.Should().Contain("Tôi thấy hoa vàng trên cỏ xanh");
titles.Should().Contain("English Grammar in Use (Advanced Edition)");
titles.Should().NotContain("Typography &amp; Thiết kế thị giác đương đại");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apps/api/tests/SmartLibrary.UnitTests/Features/Rag/RealCatalogTopicTests.cs:194</x:v>
      </x:c>
      <x:c r="G14" s="9" t="str">
        <x:v>apps/api/tests/SmartLibrary.UnitTests/Features/Rag/RealCatalogTopicTests.cs:206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FullyQualifiedName~RealCatalogTopicTests.FiveBooks_CommaSeparated_ReturnsEachNamedBook</x:v>
      </x:c>
      <x:c r="G15" s="9" t="str">
        <x:v>dotnet test UnitTests project --filter FullyQualifiedName~RealCatalogTopicTests.FiveBooks_MessyWordingWithoutAnd_StillFindsNamedBooks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  <x:c r="G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00:00:00.0028413</x:v>
      </x:c>
      <x:c r="G20" s="9" t="str">
        <x:v>00:00:00.0022196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SmartLibrary.UnitTests.Features.Rag.RealCatalogTopicTests.FiveBooks_CommaSeparated_ReturnsEachNamedBook</x:v>
      </x:c>
      <x:c r="G21" s="9" t="str">
        <x:v>evidence/unit.trx :: SmartLibrary.UnitTests.Features.Rag.RealCatalogTopicTests.FiveBooks_MessyWordingWithoutAnd_StillFindsNamedBooks</x:v>
      </x:c>
    </x:row>
  </x:sheetData>
  <x:mergeCells>
    <x:mergeCell ref="A2:E2"/>
    <x:mergeCell ref="F2:G2"/>
    <x:mergeCell ref="A3:E3"/>
    <x:mergeCell ref="F3:G3"/>
    <x:mergeCell ref="A4:E4"/>
    <x:mergeCell ref="F4:G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G18">
    <x:cfRule type="containsText" dxfId="192" priority="1" operator="containsText" text="Passed"/>
    <x:cfRule type="containsText" dxfId="193" priority="2" operator="containsText" text="Failed"/>
    <x:cfRule type="containsText" dxfId="194" priority="3" operator="containsText" text="Not Tested"/>
  </x:conditionalFormatting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F066 — RealCatalogTopicTests.HardwareAndDiscreteMathProse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Hardware And Discrete Math Prose — Returns Only Rosen Not Literature Or Clean Code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intent.Topics.Should().Contain("hardware");
intent.Topics.Should().Contain("math");
titles.Should().Equal("Toán học rời rạc ứng dụng trong Công nghệ thông tin");
titles.Should().NotContain("Tôi thấy hoa vàng trên cỏ xanh");
titles.Should().NotContain("Clean Code: A Handbook of Agile Software Craftsmanship");
titles.Should().NotContain("Clean Architecture: A Craftsman's Guide to Software Structure and Design");
titles.Should().NotContain("Refactoring: Improving the Design of Existing Code");
SearchTopicGuard.Filter(query, leaked).Select(item =&gt; item.Title).Should()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apps/api/tests/SmartLibrary.UnitTests/Features/Rag/RealCatalogTopicTests.cs:127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FullyQualifiedName~RealCatalogTopicTests.HardwareAndDiscreteMathProse_ReturnsOnlyRosenNotLiteratureOrCleanCode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00:00:00.0070176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SmartLibrary.UnitTests.Features.Rag.RealCatalogTopicTests.HardwareAndDiscreteMathProse_ReturnsOnlyRosenNotLiteratureOrCleanCode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195" priority="1" operator="containsText" text="Passed"/>
    <x:cfRule type="containsText" dxfId="196" priority="2" operator="containsText" text="Failed"/>
    <x:cfRule type="containsText" dxfId="197" priority="3" operator="containsText" text="Not Tested"/>
  </x:conditionalFormatting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F067 — RealCatalogTopicTests.JapaneseQueries</x:v>
      </x:c>
      <x:c r="G2" s="10"/>
      <x:c r="H2" s="10"/>
      <x:c r="I2" s="10"/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COUNTIF(F18:I18,"Passed")</x:f>
        <x:v>4</x:v>
      </x:c>
      <x:c r="B7" t="n">
        <x:f>COUNTIF(F18:I18,"Failed")</x:f>
        <x:v>0</x:v>
      </x:c>
      <x:c r="C7" t="n">
        <x:f>COUNTIF(F18:I18,"Not Tested")</x:f>
        <x:v>0</x:v>
      </x:c>
      <x:c r="D7" t="n">
        <x:f>COUNTA(F9:I9)</x:f>
        <x:v>4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UT-174</x:v>
      </x:c>
      <x:c r="G9" s="5" t="str">
        <x:v>UT-175</x:v>
      </x:c>
      <x:c r="H9" s="5" t="str">
        <x:v>UT-176</x:v>
      </x:c>
      <x:c r="I9" s="5" t="str">
        <x:v>UT-177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Japanese Queries — Against Live Catalog — Return No Books</x:v>
      </x:c>
      <x:c r="G10" s="9" t="str">
        <x:v>Japanese Queries — Against Live Catalog — Return No Books</x:v>
      </x:c>
      <x:c r="H10" s="9" t="str">
        <x:v>Japanese Queries — Against Live Catalog — Return No Books</x:v>
      </x:c>
      <x:c r="I10" s="9" t="str">
        <x:v>Japanese Queries — Against Live Catalog — Return No Books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  <x:c r="G11" s="9" t="str">
        <x:v>Arrange fixture and test doubles defined in RealCatalogTopicTests. No live service.</x:v>
      </x:c>
      <x:c r="H11" s="9" t="str">
        <x:v>Arrange fixture and test doubles defined in RealCatalogTopicTests. No live service.</x:v>
      </x:c>
      <x:c r="I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query: "Tìm sách ngôn ngữ chuyên ngành tiếng Nhật."</x:v>
      </x:c>
      <x:c r="G12" s="9" t="str">
        <x:v>query: "Tìm sách tiếng Nhật chuyên ngành công nghệ thông t"···</x:v>
      </x:c>
      <x:c r="H12" s="9" t="str">
        <x:v>query: "Tìm sách tiếng Nhật"</x:v>
      </x:c>
      <x:c r="I12" s="9" t="str">
        <x:v>query: "Tìm sách từ vựng tiếng Nhật thương mại."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Matches(query).Should().BeEmpty(</x:v>
      </x:c>
      <x:c r="G13" s="9" t="str">
        <x:v>Matches(query).Should().BeEmpty(</x:v>
      </x:c>
      <x:c r="H13" s="9" t="str">
        <x:v>Matches(query).Should().BeEmpty(</x:v>
      </x:c>
      <x:c r="I13" s="9" t="str">
        <x:v>Matches(query).Should().BeEmpty(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apps/api/tests/SmartLibrary.UnitTests/Features/Rag/RealCatalogTopicTests.cs:31</x:v>
      </x:c>
      <x:c r="G14" s="9" t="str">
        <x:v>apps/api/tests/SmartLibrary.UnitTests/Features/Rag/RealCatalogTopicTests.cs:31</x:v>
      </x:c>
      <x:c r="H14" s="9" t="str">
        <x:v>apps/api/tests/SmartLibrary.UnitTests/Features/Rag/RealCatalogTopicTests.cs:31</x:v>
      </x:c>
      <x:c r="I14" s="9" t="str">
        <x:v>apps/api/tests/SmartLibrary.UnitTests/Features/Rag/RealCatalogTopicTests.cs:31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FullyQualifiedName~RealCatalogTopicTests.JapaneseQueries_AgainstLiveCatalog_ReturnNoBooks</x:v>
      </x:c>
      <x:c r="G15" s="9" t="str">
        <x:v>dotnet test UnitTests project --filter FullyQualifiedName~RealCatalogTopicTests.JapaneseQueries_AgainstLiveCatalog_ReturnNoBooks</x:v>
      </x:c>
      <x:c r="H15" s="9" t="str">
        <x:v>dotnet test UnitTests project --filter FullyQualifiedName~RealCatalogTopicTests.JapaneseQueries_AgainstLiveCatalog_ReturnNoBooks</x:v>
      </x:c>
      <x:c r="I15" s="9" t="str">
        <x:v>dotnet test UnitTests project --filter FullyQualifiedName~RealCatalogTopicTests.JapaneseQueries_AgainstLiveCatalog_ReturnNoBooks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  <x:c r="G16" s="9" t="str">
        <x:v>No test failure logged; expected exceptions are asserted in source.</x:v>
      </x:c>
      <x:c r="H16" s="9" t="str">
        <x:v>No test failure logged; expected exceptions are asserted in source.</x:v>
      </x:c>
      <x:c r="I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  <x:c r="G17" s="9" t="str">
        <x:v>A</x:v>
      </x:c>
      <x:c r="H17" s="9" t="str">
        <x:v>A</x:v>
      </x:c>
      <x:c r="I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  <x:c r="G18" s="9" t="str">
        <x:v>Passed</x:v>
      </x:c>
      <x:c r="H18" s="9" t="str">
        <x:v>Passed</x:v>
      </x:c>
      <x:c r="I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  <x:c r="G19" s="9" t="str">
        <x:v>2026-10-27</x:v>
      </x:c>
      <x:c r="H19" s="9" t="str">
        <x:v>2026-10-27</x:v>
      </x:c>
      <x:c r="I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00:00:00.0020008</x:v>
      </x:c>
      <x:c r="G20" s="9" t="str">
        <x:v>00:00:00.0018100</x:v>
      </x:c>
      <x:c r="H20" s="9" t="str">
        <x:v>00:00:00.0012095</x:v>
      </x:c>
      <x:c r="I20" s="9" t="str">
        <x:v>00:00:00.0215437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SmartLibrary.UnitTests.Features.Rag.RealCatalogTopicTests.JapaneseQueries_AgainstLiveCatalog_ReturnNoBooks(query: "Tìm sách ngôn ngữ chuyên ngành tiếng Nhật.")</x:v>
      </x:c>
      <x:c r="G21" s="9" t="str">
        <x:v>evidence/unit.trx :: SmartLibrary.UnitTests.Features.Rag.RealCatalogTopicTests.JapaneseQueries_AgainstLiveCatalog_ReturnNoBooks(query: "Tìm sách tiếng Nhật chuyên ngành công nghệ thông t"···)</x:v>
      </x:c>
      <x:c r="H21" s="9" t="str">
        <x:v>evidence/unit.trx :: SmartLibrary.UnitTests.Features.Rag.RealCatalogTopicTests.JapaneseQueries_AgainstLiveCatalog_ReturnNoBooks(query: "Tìm sách tiếng Nhật")</x:v>
      </x:c>
      <x:c r="I21" s="9" t="str">
        <x:v>evidence/unit.trx :: SmartLibrary.UnitTests.Features.Rag.RealCatalogTopicTests.JapaneseQueries_AgainstLiveCatalog_ReturnNoBooks(query: "Tìm sách từ vựng tiếng Nhật thương mại.")</x:v>
      </x:c>
    </x:row>
  </x:sheetData>
  <x:mergeCells>
    <x:mergeCell ref="A2:E2"/>
    <x:mergeCell ref="F2:I2"/>
    <x:mergeCell ref="A3:E3"/>
    <x:mergeCell ref="F3:I3"/>
    <x:mergeCell ref="A4:E4"/>
    <x:mergeCell ref="F4:I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I18">
    <x:cfRule type="containsText" dxfId="198" priority="1" operator="containsText" text="Passed"/>
    <x:cfRule type="containsText" dxfId="199" priority="2" operator="containsText" text="Failed"/>
    <x:cfRule type="containsText" dxfId="200" priority="3" operator="containsText" text="Not Tested"/>
  </x:conditionalFormatting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F068 — RealCatalogTopicTests.KoreanLanguageLearningQuery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Korean Language Learning Query — Finds Integrated Korean Despite English Metadata Language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apps/api/tests/SmartLibrary.UnitTests/Features/Rag/RealCatalogTopicTests.cs:60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FullyQualifiedName~RealCatalogTopicTests.KoreanLanguageLearningQuery_FindsIntegratedKoreanDespiteEnglishMetadataLanguage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00:00:00.0003144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SmartLibrary.UnitTests.Features.Rag.RealCatalogTopicTests.KoreanLanguageLearningQuery_FindsIntegratedKoreanDespiteEnglishMetadataLanguage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01" priority="1" operator="containsText" text="Passed"/>
    <x:cfRule type="containsText" dxfId="202" priority="2" operator="containsText" text="Failed"/>
    <x:cfRule type="containsText" dxfId="203" priority="3" operator="containsText" text="Not Tested"/>
  </x:conditionalFormatting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F069 — RealCatalogTopicTests.LongDiscreteMathDescription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UT-179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Long Discrete Math Description — Returns Rosen Not Programming Or English Grammar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SearchTopicGuard.SplitIntents(query).Should().ContainSingle();
titles.Should().Contain("Toán học rời rạc ứng dụng trong Công nghệ thông tin");
titles.Should().NotContain("Clean Code: A Handbook of Agile Software Craftsmanship");
titles.Should().NotContain("Clean Architecture: A Craftsman's Guide to Software Structure and Design");
titles.Should().NotContain("Refactoring: Improving the Design of Existing Code");
titles.Should().NotContain("English Grammar in Use (Advanced Edition)");
titles.Should().NotContain("Python nâng cao");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apps/api/tests/SmartLibrary.UnitTests/Features/Rag/RealCatalogTopicTests.cs:174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FullyQualifiedName~RealCatalogTopicTests.LongDiscreteMathDescription_ReturnsRosenNotProgrammingOrEnglishGrammar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00:00:00.0121710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SmartLibrary.UnitTests.Features.Rag.RealCatalogTopicTests.LongDiscreteMathDescription_ReturnsRosenNotProgrammingOrEnglishGrammar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04" priority="1" operator="containsText" text="Passed"/>
    <x:cfRule type="containsText" dxfId="205" priority="2" operator="containsText" text="Failed"/>
    <x:cfRule type="containsText" dxfId="206" priority="3" operator="containsText" text="Not Tested"/>
  </x:conditionalFormatting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F070 — RealCatalogTopicTests.MissingBook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Missing Book — Returns Empty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Matches("Tìm sách xyzzy-khong-ton-tai-trong-thu-vien").Should().BeEmpty();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apps/api/tests/SmartLibrary.UnitTests/Features/Rag/RealCatalogTopicTests.cs:83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FullyQualifiedName~RealCatalogTopicTests.MissingBook_ReturnsEmpty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B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00:00:00.0017609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SmartLibrary.UnitTests.Features.Rag.RealCatalogTopicTests.MissingBook_ReturnsEmpty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07" priority="1" operator="containsText" text="Passed"/>
    <x:cfRule type="containsText" dxfId="208" priority="2" operator="containsText" text="Failed"/>
    <x:cfRule type="containsText" dxfId="209" priority="3" operator="containsText" text="Not Tested"/>
  </x:conditionalFormatting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F071 — RealCatalogTopicTests.NguyenNhatAnh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Nguyen Nhat Anh — Is Not Japanese Language Evidence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apps/api/tests/SmartLibrary.UnitTests/Features/Rag/RealCatalogTopicTests.cs:226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FullyQualifiedName~RealCatalogTopicTests.NguyenNhatAnh_IsNotJapaneseLanguageEvidence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00:00:00.0002962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SmartLibrary.UnitTests.Features.Rag.RealCatalogTopicTests.NguyenNhatAnh_IsNotJapaneseLanguageEvidence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10" priority="1" operator="containsText" text="Passed"/>
    <x:cfRule type="containsText" dxfId="211" priority="2" operator="containsText" text="Failed"/>
    <x:cfRule type="containsText" dxfId="212" priority="3" operator="containsText" text="Not Tested"/>
  </x:conditionalFormatting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F072 — RealCatalogTopicTests.PythonAdvanced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Python Advanced — Returns Python Advanced Not Japanese Or English Grammar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titles.Should().Contain("Python nâng cao");
titles.Should().NotContain("English Grammar in Use (Advanced Edition)");
titles.Should().NotContain("Tôi thấy hoa vàng trên cỏ xanh");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apps/api/tests/SmartLibrary.UnitTests/Features/Rag/RealCatalogTopicTests.cs:38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FullyQualifiedName~RealCatalogTopicTests.PythonAdvanced_ReturnsPythonAdvancedNotJapaneseOrEnglishGrammar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00:00:00.0056730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SmartLibrary.UnitTests.Features.Rag.RealCatalogTopicTests.PythonAdvanced_ReturnsPythonAdvancedNotJapaneseOrEnglishGrammar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13" priority="1" operator="containsText" text="Passed"/>
    <x:cfRule type="containsText" dxfId="214" priority="2" operator="containsText" text="Failed"/>
    <x:cfRule type="containsText" dxfId="215" priority="3" operator="containsText" text="Not Tested"/>
  </x:conditionalFormatting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F073 — RealCatalogTopicTests.RepeatedSach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Repeated Sach — Splits Five Requests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.Should().HaveCountGreaterThanOrEqualTo(4);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apps/api/tests/SmartLibrary.UnitTests/Features/Rag/RealCatalogTopicTests.cs:218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FullyQualifiedName~RealCatalogTopicTests.RepeatedSach_SplitsFiveRequests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00:00:00.0062571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SmartLibrary.UnitTests.Features.Rag.RealCatalogTopicTests.RepeatedSach_SplitsFiveRequests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16" priority="1" operator="containsText" text="Passed"/>
    <x:cfRule type="containsText" dxfId="217" priority="2" operator="containsText" text="Failed"/>
    <x:cfRule type="containsText" dxfId="218" priority="3" operator="containsText" text="Not Tested"/>
  </x:conditionalFormatting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F074 — RealCatalogTopicTests.VagueLanguageQuery</x:v>
      </x:c>
    </x:row>
    <x:row r="3">
      <x:c r="A3" t="str">
        <x:v>Source class</x:v>
      </x:c>
      <x:c r="F3" t="str">
        <x:v>RealCatalogTopicTests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Vague Language Query — Needs Clarification Instead Of Dumping Catalog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RealCatalogTopicTests.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intent.NeedsClarification.Should().BeTrue();
Matches("Tìm sách ngôn ngữ").Should().BeEmpty();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apps/api/tests/SmartLibrary.UnitTests/Features/Rag/RealCatalogTopicTests.cs:101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FullyQualifiedName~RealCatalogTopicTests.VagueLanguageQuery_NeedsClarificationInsteadOfDumpingCatalog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00:00:00.0047977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SmartLibrary.UnitTests.Features.Rag.RealCatalogTopicTests.VagueLanguageQuery_NeedsClarificationInsteadOfDumpingCatalog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19" priority="1" operator="containsText" text="Passed"/>
    <x:cfRule type="containsText" dxfId="220" priority="2" operator="containsText" text="Failed"/>
    <x:cfRule type="containsText" dxfId="221" priority="3" operator="containsText" text="Not Tested"/>
  </x:conditionalFormatting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F075 — SearchTopicGuardTests.BookSearchIntent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Book Search Intent — Does Not Treat Borrowing Policy Questions As Book Searches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SearchTopicGuard.IsBookSearch("Thời hạn mượn sách là bao lâu?").Should().BeFalse();
SearchTopicGuard.IsBookSearch("What is the loan policy for books?").Should().BeFalse();
SearchTopicGuard.IsBookSearch("Bây giờ tôi muốn học về ngôn ngữ Anh.").Should().BeTrue();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apps/api/tests/SmartLibrary.UnitTests/Features/Rag/SearchTopicGuardTests.cs:145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FullyQualifiedName~SearchTopicGuardTests.BookSearchIntent_DoesNotTreatBorrowingPolicyQuestionsAsBookSearches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00:00:00.0005425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SmartLibrary.UnitTests.Features.Rag.SearchTopicGuardTests.BookSearchIntent_DoesNotTreatBorrowingPolicyQuestionsAsBookSearches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22" priority="1" operator="containsText" text="Passed"/>
    <x:cfRule type="containsText" dxfId="223" priority="2" operator="containsText" text="Failed"/>
    <x:cfRule type="containsText" dxfId="224" priority="3" operator="containsText" text="Not Tested"/>
  </x:conditionalFormatting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F076 — SearchTopicGuardTests.CSharpQuery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CSharp Query — Recognizes Aliases And Rejects Unrelated Books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SearchTopicGuard.Parse(query).Topics.Should().Contain("csharp");
.Should().BeTrue();
.Should().BeFalse();
SearchTopicGuard.MatchesTopic("csharp", "Visual C-Sharp").Should().BeTrue();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apps/api/tests/SmartLibrary.UnitTests/Features/Rag/SearchTopicGuardTests.cs:41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FullyQualifiedName~SearchTopicGuardTests.CSharpQuery_RecognizesAliasesAndRejectsUnrelatedBooks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00:00:00.0020491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SmartLibrary.UnitTests.Features.Rag.SearchTopicGuardTests.CSharpQuery_RecognizesAliasesAndRejectsUnrelatedBooks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25" priority="1" operator="containsText" text="Passed"/>
    <x:cfRule type="containsText" dxfId="226" priority="2" operator="containsText" text="Failed"/>
    <x:cfRule type="containsText" dxfId="227" priority="3" operator="containsText" text="Not Tested"/>
  </x:conditionalFormatting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F077 — SearchTopicGuardTests.CompoundPythonAndCleanCode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Compound Python And Clean Code — Does Not Force Python On Every Hit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.Should().BeTrue();
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apps/api/tests/SmartLibrary.UnitTests/Features/Rag/SearchTopicGuardTests.cs:270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FullyQualifiedName~SearchTopicGuardTests.CompoundPythonAndCleanCode_DoesNotForcePythonOnEveryHit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00:00:00.0003243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SmartLibrary.UnitTests.Features.Rag.SearchTopicGuardTests.CompoundPythonAndCleanCode_DoesNotForcePythonOnEveryHit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28" priority="1" operator="containsText" text="Passed"/>
    <x:cfRule type="containsText" dxfId="229" priority="2" operator="containsText" text="Failed"/>
    <x:cfRule type="containsText" dxfId="230" priority="3" operator="containsText" text="Not Tested"/>
  </x:conditionalFormatting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F078 — SearchTopicGuardTests.CompoundQuery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Compound Query — Allows Each Clause Separately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SearchTopicGuard.SplitIntents(query).Should().HaveCount(2);
.Should().BeTrue();
.Should().BeTrue();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apps/api/tests/SmartLibrary.UnitTests/Features/Rag/SearchTopicGuardTests.cs:169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FullyQualifiedName~SearchTopicGuardTests.CompoundQuery_AllowsEachClauseSeparately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00:00:00.0011680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SmartLibrary.UnitTests.Features.Rag.SearchTopicGuardTests.CompoundQuery_AllowsEachClauseSeparately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31" priority="1" operator="containsText" text="Passed"/>
    <x:cfRule type="containsText" dxfId="232" priority="2" operator="containsText" text="Failed"/>
    <x:cfRule type="containsText" dxfId="233" priority="3" operator="containsText" text="Not Tested"/>
  </x:conditionalFormatting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F079 — SearchTopicGuardTests.DiscreteMathIntent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UT-189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Discrete Math Intent — Rejects Programming And English Grammar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SearchTopicGuard.Parse(query).Domain.Should().Be("math");
.Should().BeTrue();
.Should().BeFalse();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apps/api/tests/SmartLibrary.UnitTests/Features/Rag/SearchTopicGuardTests.cs:206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FullyQualifiedName~SearchTopicGuardTests.DiscreteMathIntent_RejectsProgrammingAndEnglishGrammar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00:00:00.0026564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SmartLibrary.UnitTests.Features.Rag.SearchTopicGuardTests.DiscreteMathIntent_RejectsProgrammingAndEnglishGrammar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34" priority="1" operator="containsText" text="Passed"/>
    <x:cfRule type="containsText" dxfId="235" priority="2" operator="containsText" text="Failed"/>
    <x:cfRule type="containsText" dxfId="236" priority="3" operator="containsText" text="Not Tested"/>
  </x:conditionalFormatting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F080 — SearchTopicGuardTests.EnglishLanguageLearningQuery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English Language Learning Query — Recognizes Language And Rejects Books Merely Written In English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intent.Language.Should().Be("english");
intent.WantsLanguageLearning.Should().BeTrue();
intent.NeedsClarification.Should().BeFalse();
.Should().BeTrue();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apps/api/tests/SmartLibrary.UnitTests/Features/Rag/SearchTopicGuardTests.cs:83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FullyQualifiedName~SearchTopicGuardTests.EnglishLanguageLearningQuery_RecognizesLanguageAndRejectsBooksMerelyWrittenInEnglish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00:00:00.0158878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SmartLibrary.UnitTests.Features.Rag.SearchTopicGuardTests.EnglishLanguageLearningQuery_RecognizesLanguageAndRejectsBooksMerelyWrittenInEnglish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37" priority="1" operator="containsText" text="Passed"/>
    <x:cfRule type="containsText" dxfId="238" priority="2" operator="containsText" text="Failed"/>
    <x:cfRule type="containsText" dxfId="239" priority="3" operator="containsText" text="Not Tested"/>
  </x:conditionalFormatting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F081 — SearchTopicGuardTests.ForeignLanguageCategory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Foreign Language Category — Is Not AVague Language Question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SearchTopicGuard.Parse("sách liên quan đến ngoại ngữ").NeedsClarification.Should().BeFalse();
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apps/api/tests/SmartLibrary.UnitTests/Features/Rag/SearchTopicGuardTests.cs:153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FullyQualifiedName~SearchTopicGuardTests.ForeignLanguageCategory_IsNotAVagueLanguageQuestion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00:00:00.0003280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SmartLibrary.UnitTests.Features.Rag.SearchTopicGuardTests.ForeignLanguageCategory_IsNotAVagueLanguageQuestion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40" priority="1" operator="containsText" text="Passed"/>
    <x:cfRule type="containsText" dxfId="241" priority="2" operator="containsText" text="Failed"/>
    <x:cfRule type="containsText" dxfId="242" priority="3" operator="containsText" text="Not Tested"/>
  </x:conditionalFormatting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F082 — SearchTopicGuardTests.JapaneseEsp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Japanese Esp — Rejects Python And English Grammar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.Should().BeFalse();
.Should().BeFalse();
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FullyQualifiedName~SearchTopicGuardTests.JapaneseEsp_RejectsPythonAndEnglishGrammar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00:00:00.0006269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SmartLibrary.UnitTests.Features.Rag.SearchTopicGuardTests.JapaneseEsp_RejectsPythonAndEnglishGrammar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43" priority="1" operator="containsText" text="Passed"/>
    <x:cfRule type="containsText" dxfId="244" priority="2" operator="containsText" text="Failed"/>
    <x:cfRule type="containsText" dxfId="245" priority="3" operator="containsText" text="Not Tested"/>
  </x:conditionalFormatting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F083 — SearchTopicGuardTests.JapaneseIt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Japanese It — Requires Both Language And It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.Should().BeFalse();
.Should().BeTrue();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apps/api/tests/SmartLibrary.UnitTests/Features/Rag/SearchTopicGuardTests.cs:21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FullyQualifiedName~SearchTopicGuardTests.JapaneseIt_RequiresBothLanguageAndIt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00:00:00.0021055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SmartLibrary.UnitTests.Features.Rag.SearchTopicGuardTests.JapaneseIt_RequiresBothLanguageAndIt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46" priority="1" operator="containsText" text="Passed"/>
    <x:cfRule type="containsText" dxfId="247" priority="2" operator="containsText" text="Failed"/>
    <x:cfRule type="containsText" dxfId="248" priority="3" operator="containsText" text="Not Tested"/>
  </x:conditionalFormatting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F084 — SearchTopicGuardTests.KoreanLanguageLearningQuery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UT-194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Korean Language Learning Query — Matches Integrated Korean Even When Book Metadata Language Is English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intent.Language.Should().Be("korean");
intent.WantsLanguageLearning.Should().BeTrue();
intent.NeedsClarification.Should().BeFalse();
.Should().BeTrue();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apps/api/tests/SmartLibrary.UnitTests/Features/Rag/SearchTopicGuardTests.cs:114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FullyQualifiedName~SearchTopicGuardTests.KoreanLanguageLearningQuery_MatchesIntegratedKoreanEvenWhenBookMetadataLanguageIsEnglish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00:00:00.0004815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SmartLibrary.UnitTests.Features.Rag.SearchTopicGuardTests.KoreanLanguageLearningQuery_MatchesIntegratedKoreanEvenWhenBookMetadataLanguageIsEnglish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49" priority="1" operator="containsText" text="Passed"/>
    <x:cfRule type="containsText" dxfId="250" priority="2" operator="containsText" text="Failed"/>
    <x:cfRule type="containsText" dxfId="251" priority="3" operator="containsText" text="Not Tested"/>
  </x:conditionalFormatting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F085 — SearchTopicGuardTests.LanguageLearningWithoutLanguage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UT-195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Language Learning Without Language — Needs Clarification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intent.NeedsClarification.Should().BeTrue();
intent.Language.Should().BeNull();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apps/api/tests/SmartLibrary.UnitTests/Features/Rag/SearchTopicGuardTests.cs:75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FullyQualifiedName~SearchTopicGuardTests.LanguageLearningWithoutLanguage_NeedsClarification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00:00:00.0014260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SmartLibrary.UnitTests.Features.Rag.SearchTopicGuardTests.LanguageLearningWithoutLanguage_NeedsClarification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52" priority="1" operator="containsText" text="Passed"/>
    <x:cfRule type="containsText" dxfId="253" priority="2" operator="containsText" text="Failed"/>
    <x:cfRule type="containsText" dxfId="254" priority="3" operator="containsText" text="Not Tested"/>
  </x:conditionalFormatting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F086 — SearchTopicGuardTests.LiteratureCategory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UT-196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Literature Category — Finds Vietnamese Fiction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SearchTopicGuard.Parse(query).Topics.Should().Contain("literature");
.Should().BeTrue();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apps/api/tests/SmartLibrary.UnitTests/Features/Rag/SearchTopicGuardTests.cs:243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FullyQualifiedName~SearchTopicGuardTests.LiteratureCategory_FindsVietnameseFiction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00:00:00.0016612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SmartLibrary.UnitTests.Features.Rag.SearchTopicGuardTests.LiteratureCategory_FindsVietnameseFiction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55" priority="1" operator="containsText" text="Passed"/>
    <x:cfRule type="containsText" dxfId="256" priority="2" operator="containsText" text="Failed"/>
    <x:cfRule type="containsText" dxfId="257" priority="3" operator="containsText" text="Not Tested"/>
  </x:conditionalFormatting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F087 — SearchTopicGuardTests.MatchLabel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UT-197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Match Label — Does Not Use Raw Cosine Percent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SearchTopicGuard.MatchLabel(0.78).Should().Be("Phù hợp cao");
SearchTopicGuard.MatchLabel(0.56).Should().Be("Có liên quan");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apps/api/tests/SmartLibrary.UnitTests/Features/Rag/SearchTopicGuardTests.cs:68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FullyQualifiedName~SearchTopicGuardTests.MatchLabel_DoesNotUseRawCosinePercent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00:00:00.0002687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SmartLibrary.UnitTests.Features.Rag.SearchTopicGuardTests.MatchLabel_DoesNotUseRawCosinePercent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58" priority="1" operator="containsText" text="Passed"/>
    <x:cfRule type="containsText" dxfId="259" priority="2" operator="containsText" text="Failed"/>
    <x:cfRule type="containsText" dxfId="260" priority="3" operator="containsText" text="Not Tested"/>
  </x:conditionalFormatting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F088 — SearchTopicGuardTests.PythonQuery</x:v>
      </x:c>
    </x:row>
    <x:row r="3">
      <x:c r="A3" t="str">
        <x:v>Source class</x:v>
      </x:c>
      <x:c r="F3" t="str">
        <x:v>SearchTopicGuardTests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UT-198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Python Query — Requires Python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SearchTopicGuardTests.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.Should().BeTrue();
.Should().BeFalse();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apps/api/tests/SmartLibrary.UnitTests/Features/Rag/SearchTopicGuardTests.cs:31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FullyQualifiedName~SearchTopicGuardTests.PythonQuery_RequiresPython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00:00:00.1049809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SmartLibrary.UnitTests.Features.Rag.SearchTopicGuardTests.PythonQuery_RequiresPython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61" priority="1" operator="containsText" text="Passed"/>
    <x:cfRule type="containsText" dxfId="262" priority="2" operator="containsText" text="Failed"/>
    <x:cfRule type="containsText" dxfId="263" priority="3" operator="containsText" text="Not Tested"/>
  </x:conditionalFormatting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F089 — ReportWorkflowContractTests.CreateReportPayload</x:v>
      </x:c>
    </x:row>
    <x:row r="3">
      <x:c r="A3" t="str">
        <x:v>Source class</x:v>
      </x:c>
      <x:c r="F3" t="str">
        <x:v>ReportWorkflowContractTests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UT-199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Create Report Payload — Accepts Optional Request Id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ReportWorkflowContractTests.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request.Should().NotBeNull();
request!.RequestId.Should().Be(requestId);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apps/api/tests/SmartLibrary.UnitTests/Features/Reports/ReportWorkflowContractTests.cs:47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FullyQualifiedName~ReportWorkflowContractTests.CreateReportPayload_AcceptsOptionalRequestId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00:00:00.1047198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SmartLibrary.UnitTests.Features.Reports.ReportWorkflowContractTests.CreateReportPayload_AcceptsOptionalRequestId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64" priority="1" operator="containsText" text="Passed"/>
    <x:cfRule type="containsText" dxfId="265" priority="2" operator="containsText" text="Failed"/>
    <x:cfRule type="containsText" dxfId="266" priority="3" operator="containsText" text="Not Tested"/>
  </x:conditionalFormatting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F090 — ReportWorkflowContractTests.NewReportRequest</x:v>
      </x:c>
    </x:row>
    <x:row r="3">
      <x:c r="A3" t="str">
        <x:v>Source class</x:v>
      </x:c>
      <x:c r="F3" t="str">
        <x:v>ReportWorkflowContractTests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UT-200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New Report Request — Defaults To Pending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ReportWorkflowContractTests.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new ReportRequest().Status.Should().Be("Pending");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apps/api/tests/SmartLibrary.UnitTests/Features/Reports/ReportWorkflowContractTests.cs:59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FullyQualifiedName~ReportWorkflowContractTests.NewReportRequest_DefaultsToPending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00:00:00.0006266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SmartLibrary.UnitTests.Features.Reports.ReportWorkflowContractTests.NewReportRequest_DefaultsToPending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67" priority="1" operator="containsText" text="Passed"/>
    <x:cfRule type="containsText" dxfId="268" priority="2" operator="containsText" text="Failed"/>
    <x:cfRule type="containsText" dxfId="269" priority="3" operator="containsText" text="Not Tested"/>
  </x:conditionalFormatting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F091 — ReportWorkflowContractTests.RejectionPayload</x:v>
      </x:c>
    </x:row>
    <x:row r="3">
      <x:c r="A3" t="str">
        <x:v>Source class</x:v>
      </x:c>
      <x:c r="F3" t="str">
        <x:v>ReportWorkflowContractTests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UT-201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Rejection Payload — Deserializes Explicit Flag And Reason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ReportWorkflowContractTests.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request.Should().NotBeNull();
request!.IsRejected.Should().BeTrue();
request.Comment.Should().Be("Please correct the report.");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apps/api/tests/SmartLibrary.UnitTests/Features/Reports/ReportWorkflowContractTests.cs:35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FullyQualifiedName~ReportWorkflowContractTests.RejectionPayload_DeserializesExplicitFlagAndReason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A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00:00:00.0027962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SmartLibrary.UnitTests.Features.Reports.ReportWorkflowContractTests.RejectionPayload_DeserializesExplicitFlagAndReason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70" priority="1" operator="containsText" text="Passed"/>
    <x:cfRule type="containsText" dxfId="271" priority="2" operator="containsText" text="Failed"/>
    <x:cfRule type="containsText" dxfId="272" priority="3" operator="containsText" text="Not Tested"/>
  </x:conditionalFormatting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F092 — ReportWorkflowContractTests.ReportImportSchema</x:v>
      </x:c>
    </x:row>
    <x:row r="3">
      <x:c r="A3" t="str">
        <x:v>Source class</x:v>
      </x:c>
      <x:c r="F3" t="str">
        <x:v>ReportWorkflowContractTests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UT-202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Report Import Schema — Only Exposes Borrow And Return Counts For Legacy Templates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ReportWorkflowContractTests.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schema.Metrics.Should().Equal("Borrowed", "Returned");
schema.ExpectedColumnLabels.Should().Contain("Lượt mượn").And.Contain("Lượt trả")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apps/api/tests/SmartLibrary.UnitTests/Features/Reports/ReportWorkflowContractTests.cs:65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FullyQualifiedName~ReportWorkflowContractTests.ReportImportSchema_OnlyExposesBorrowAndReturnCountsForLegacyTemplates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00:00:00.0070230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SmartLibrary.UnitTests.Features.Reports.ReportWorkflowContractTests.ReportImportSchema_OnlyExposesBorrowAndReturnCountsForLegacyTemplates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73" priority="1" operator="containsText" text="Passed"/>
    <x:cfRule type="containsText" dxfId="274" priority="2" operator="containsText" text="Failed"/>
    <x:cfRule type="containsText" dxfId="275" priority="3" operator="containsText" text="Not Tested"/>
  </x:conditionalFormatting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Views>
    <x:sheetView showGridLines="0" workbookViewId="0">
      <x:pane xSplit="5" ySplit="9" topLeftCell="F10" activePane="bottomRight" state="frozen"/>
    </x:sheetView>
  </x:sheetViews>
  <x:sheetFormatPr defaultRowHeight="15"/>
  <x:cols>
    <x:col min="6" max="6" width="48" hidden="0" customWidth="1"/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</x:cols>
  <x:sheetData>
    <x:row r="2" ht="45" customHeight="1">
      <x:c r="A2" t="str">
        <x:v>Function Code</x:v>
      </x:c>
      <x:c r="F2" s="10" t="str">
        <x:v>F093 — ReportWorkflowContractTests.ReportRequestDto</x:v>
      </x:c>
    </x:row>
    <x:row r="3">
      <x:c r="A3" t="str">
        <x:v>Source class</x:v>
      </x:c>
      <x:c r="F3" t="str">
        <x:v>ReportWorkflowContractTests</x:v>
      </x:c>
    </x:row>
    <x:row r="4">
      <x:c r="A4" t="str">
        <x:v>Created / executed by</x:v>
      </x:c>
      <x:c r="F4" t="str">
        <x:v>Đợi HuyLong điền — author; execution: xUnit automation</x:v>
      </x:c>
    </x:row>
    <x:row r="6">
      <x:c r="A6" t="str">
        <x:v>Passed</x:v>
      </x:c>
      <x:c r="B6" t="str">
        <x:v>Failed</x:v>
      </x:c>
      <x:c r="C6" t="str">
        <x:v>Not Tested</x:v>
      </x:c>
      <x:c r="D6" t="str">
        <x:v>Total</x:v>
      </x:c>
    </x:row>
    <x:row r="7">
      <x:c r="A7" t="n">
        <x:f>COUNTIF(F18:F18,"Passed")</x:f>
        <x:v>1</x:v>
      </x:c>
      <x:c r="B7" t="n">
        <x:f>COUNTIF(F18:F18,"Failed")</x:f>
        <x:v>0</x:v>
      </x:c>
      <x:c r="C7" t="n">
        <x:f>COUNTIF(F18:F18,"Not Tested")</x:f>
        <x:v>0</x:v>
      </x:c>
      <x:c r="D7" t="n">
        <x:f>COUNTA(F9:F9)</x:f>
        <x:v>1</x:v>
      </x:c>
    </x:row>
    <x:row r="9" ht="32" customHeight="1">
      <x:c r="A9" s="5" t="str">
        <x:v>Test case ID</x:v>
      </x:c>
      <x:c r="B9" s="5"/>
      <x:c r="C9" s="5"/>
      <x:c r="D9" s="5"/>
      <x:c r="E9" s="5"/>
      <x:c r="F9" s="5" t="str">
        <x:v>UT-203</x:v>
      </x:c>
    </x:row>
    <x:row r="10" ht="100" customHeight="1">
      <x:c r="A10" s="9" t="str">
        <x:v>Condition / scenario</x:v>
      </x:c>
      <x:c r="B10" s="9"/>
      <x:c r="C10" s="9"/>
      <x:c r="D10" s="9"/>
      <x:c r="E10" s="9"/>
      <x:c r="F10" s="9" t="str">
        <x:v>Report Request Dto — Exposes Assignment And Latest Review Fields</x:v>
      </x:c>
    </x:row>
    <x:row r="11" ht="65" customHeight="1">
      <x:c r="A11" s="9" t="str">
        <x:v>Precondition</x:v>
      </x:c>
      <x:c r="B11" s="9"/>
      <x:c r="C11" s="9"/>
      <x:c r="D11" s="9"/>
      <x:c r="E11" s="9"/>
      <x:c r="F11" s="9" t="str">
        <x:v>Arrange fixture and test doubles defined in ReportWorkflowContractTests. No live service.</x:v>
      </x:c>
    </x:row>
    <x:row r="12" ht="70" customHeight="1">
      <x:c r="A12" s="9" t="str">
        <x:v>Input / theory values</x:v>
      </x:c>
      <x:c r="B12" s="9"/>
      <x:c r="C12" s="9"/>
      <x:c r="D12" s="9"/>
      <x:c r="E12" s="9"/>
      <x:c r="F12" s="9" t="str">
        <x:v>Fixed Arrange fixture in source; no theory arguments.</x:v>
      </x:c>
    </x:row>
    <x:row r="13" ht="210" customHeight="1">
      <x:c r="A13" s="9" t="str">
        <x:v>Confirm — assertion excerpt</x:v>
      </x:c>
      <x:c r="B13" s="9"/>
      <x:c r="C13" s="9"/>
      <x:c r="D13" s="9"/>
      <x:c r="E13" s="9"/>
      <x:c r="F13" s="9" t="str">
        <x:v>root.GetProperty("librarianId").GetGuid().Should().Be(dto.LibrarianId);
root.GetProperty("templateId").GetGuid().Should().Be(dto.TemplateId);
root.GetProperty("reportType").GetString().Should().Be("Activity");
root.GetProperty("status").GetString().Should().Be("Pending");
root.GetProperty("reportId").GetGuid().Should().Be(reportId);
root.GetProperty("lastReportId").GetGuid().Should().Be(reportId);
root.GetProperty("lastReportStatus").GetString().Should().Be("Rejected");
root.GetProperty("lastReviewComment").GetString().Should().Be("Please correct the category breakdown.");</x:v>
      </x:c>
    </x:row>
    <x:row r="14" ht="80" customHeight="1">
      <x:c r="A14" s="9" t="str">
        <x:v>Source function reference</x:v>
      </x:c>
      <x:c r="B14" s="9"/>
      <x:c r="C14" s="9"/>
      <x:c r="D14" s="9"/>
      <x:c r="E14" s="9"/>
      <x:c r="F14" s="9" t="str">
        <x:v>apps/api/tests/SmartLibrary.UnitTests/Features/Reports/ReportWorkflowContractTests.cs:13</x:v>
      </x:c>
    </x:row>
    <x:row r="15" ht="85" customHeight="1">
      <x:c r="A15" s="9" t="str">
        <x:v>Execution instruction</x:v>
      </x:c>
      <x:c r="B15" s="9"/>
      <x:c r="C15" s="9"/>
      <x:c r="D15" s="9"/>
      <x:c r="E15" s="9"/>
      <x:c r="F15" s="9" t="str">
        <x:v>dotnet test UnitTests project --filter FullyQualifiedName~ReportWorkflowContractTests.ReportRequestDto_ExposesAssignmentAndLatestReviewFields</x:v>
      </x:c>
    </x:row>
    <x:row r="16" ht="70" customHeight="1">
      <x:c r="A16" s="9" t="str">
        <x:v>Exception / log</x:v>
      </x:c>
      <x:c r="B16" s="9"/>
      <x:c r="C16" s="9"/>
      <x:c r="D16" s="9"/>
      <x:c r="E16" s="9"/>
      <x:c r="F16" s="9" t="str">
        <x:v>No test failure logged; expected exceptions are asserted in source.</x:v>
      </x:c>
    </x:row>
    <x:row r="17" ht="25" customHeight="1">
      <x:c r="A17" s="9" t="str">
        <x:v>Type N / A / B (provisional)</x:v>
      </x:c>
      <x:c r="B17" s="9"/>
      <x:c r="C17" s="9"/>
      <x:c r="D17" s="9"/>
      <x:c r="E17" s="9"/>
      <x:c r="F17" s="9" t="str">
        <x:v>N</x:v>
      </x:c>
    </x:row>
    <x:row r="18" ht="25" customHeight="1">
      <x:c r="A18" s="9" t="str">
        <x:v>Passed / Failed</x:v>
      </x:c>
      <x:c r="B18" s="9"/>
      <x:c r="C18" s="9"/>
      <x:c r="D18" s="9"/>
      <x:c r="E18" s="9"/>
      <x:c r="F18" s="9" t="str">
        <x:v>Passed</x:v>
      </x:c>
    </x:row>
    <x:row r="19" ht="25" customHeight="1">
      <x:c r="A19" s="9" t="str">
        <x:v>Executed date</x:v>
      </x:c>
      <x:c r="B19" s="9"/>
      <x:c r="C19" s="9"/>
      <x:c r="D19" s="9"/>
      <x:c r="E19" s="9"/>
      <x:c r="F19" s="9" t="str">
        <x:v>2026-10-27</x:v>
      </x:c>
    </x:row>
    <x:row r="20" ht="25" customHeight="1">
      <x:c r="A20" s="9" t="str">
        <x:v>Duration</x:v>
      </x:c>
      <x:c r="B20" s="9"/>
      <x:c r="C20" s="9"/>
      <x:c r="D20" s="9"/>
      <x:c r="E20" s="9"/>
      <x:c r="F20" s="9" t="str">
        <x:v>00:00:00.0330680</x:v>
      </x:c>
    </x:row>
    <x:row r="21" ht="110" customHeight="1">
      <x:c r="A21" s="9" t="str">
        <x:v>Evidence</x:v>
      </x:c>
      <x:c r="B21" s="9"/>
      <x:c r="C21" s="9"/>
      <x:c r="D21" s="9"/>
      <x:c r="E21" s="9"/>
      <x:c r="F21" s="9" t="str">
        <x:v>evidence/unit.trx :: SmartLibrary.UnitTests.Features.Reports.ReportWorkflowContractTests.ReportRequestDto_ExposesAssignmentAndLatestReviewFields</x:v>
      </x:c>
    </x:row>
  </x:sheetData>
  <x:mergeCells>
    <x:mergeCell ref="A2:E2"/>
    <x:mergeCell ref="A3:E3"/>
    <x:mergeCell ref="A4:E4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</x:mergeCells>
  <x:conditionalFormatting sqref="F18:F18">
    <x:cfRule type="containsText" dxfId="276" priority="1" operator="containsText" text="Passed"/>
    <x:cfRule type="containsText" dxfId="277" priority="2" operator="containsText" text="Failed"/>
    <x:cfRule type="containsText" dxfId="278" priority="3" operator="containsText" text="Not Tested"/>
  </x:conditionalFormatting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45" hidden="0" customWidth="1"/>
    <x:col min="4" max="4" width="12" hidden="0" customWidth="1"/>
    <x:col min="5" max="5" width="85" hidden="0" customWidth="1"/>
    <x:col min="6" max="6" width="50" hidden="0" customWidth="1"/>
  </x:cols>
  <x:sheetData>
    <x:row r="2">
      <x:c r="A2" s="1" t="str">
        <x:v>Functions</x:v>
      </x:c>
    </x:row>
    <x:row r="4" ht="32" customHeight="1">
      <x:c r="A4" s="5" t="str">
        <x:v>Sheet / function code</x:v>
      </x:c>
      <x:c r="B4" s="5" t="str">
        <x:v>Class</x:v>
      </x:c>
      <x:c r="C4" s="5" t="str">
        <x:v>Tested function group</x:v>
      </x:c>
      <x:c r="D4" s="5" t="str">
        <x:v>Cases</x:v>
      </x:c>
      <x:c r="E4" s="5" t="str">
        <x:v>Source</x:v>
      </x:c>
      <x:c r="F4" s="5" t="str">
        <x:v>Notes</x:v>
      </x:c>
    </x:row>
    <x:row r="5" ht="60" customHeight="1">
      <x:c r="A5" s="9" t="str">
        <x:v>F001</x:v>
      </x:c>
      <x:c r="B5" s="9" t="str">
        <x:v>AiInsightsServiceTests</x:v>
      </x:c>
      <x:c r="C5" s="9" t="str">
        <x:v>GetLibrarianWorkspaceAsync</x:v>
      </x:c>
      <x:c r="D5" s="9" t="n">
        <x:v>3</x:v>
      </x:c>
      <x:c r="E5" s="9" t="str">
        <x:v>apps/api/tests/SmartLibrary.UnitTests/Features/Ai/AiInsightsServiceTests.cs:49</x:v>
      </x:c>
      <x:c r="F5" s="9" t="str">
        <x:v>LOC/KLOC target not agreed; no fabricated density metric.</x:v>
      </x:c>
    </x:row>
    <x:row r="6" ht="60" customHeight="1">
      <x:c r="A6" s="9" t="str">
        <x:v>F002</x:v>
      </x:c>
      <x:c r="B6" s="9" t="str">
        <x:v>AiSettingsServiceTests</x:v>
      </x:c>
      <x:c r="C6" s="9" t="str">
        <x:v>GetStatusAsync</x:v>
      </x:c>
      <x:c r="D6" s="9" t="n">
        <x:v>2</x:v>
      </x:c>
      <x:c r="E6" s="9" t="str">
        <x:v>apps/api/tests/SmartLibrary.UnitTests/Features/Ai/AiSettingsServiceTests.cs:105</x:v>
      </x:c>
      <x:c r="F6" s="9" t="str">
        <x:v>LOC/KLOC target not agreed; no fabricated density metric.</x:v>
      </x:c>
    </x:row>
    <x:row r="7" ht="60" customHeight="1">
      <x:c r="A7" s="9" t="str">
        <x:v>F003</x:v>
      </x:c>
      <x:c r="B7" s="9" t="str">
        <x:v>AiSettingsServiceTests</x:v>
      </x:c>
      <x:c r="C7" s="9" t="str">
        <x:v>ResolveForAskAsync</x:v>
      </x:c>
      <x:c r="D7" s="9" t="n">
        <x:v>5</x:v>
      </x:c>
      <x:c r="E7" s="9" t="str">
        <x:v>apps/api/tests/SmartLibrary.UnitTests/Features/Ai/AiSettingsServiceTests.cs:526</x:v>
      </x:c>
      <x:c r="F7" s="9" t="str">
        <x:v>LOC/KLOC target not agreed; no fabricated density metric.</x:v>
      </x:c>
    </x:row>
    <x:row r="8" ht="60" customHeight="1">
      <x:c r="A8" s="9" t="str">
        <x:v>F004</x:v>
      </x:c>
      <x:c r="B8" s="9" t="str">
        <x:v>AiSettingsServiceTests</x:v>
      </x:c>
      <x:c r="C8" s="9" t="str">
        <x:v>ResolveLibraryAsync</x:v>
      </x:c>
      <x:c r="D8" s="9" t="n">
        <x:v>1</x:v>
      </x:c>
      <x:c r="E8" s="9" t="str">
        <x:v>apps/api/tests/SmartLibrary.UnitTests/Features/Ai/AiSettingsServiceTests.cs:418</x:v>
      </x:c>
      <x:c r="F8" s="9" t="str">
        <x:v>LOC/KLOC target not agreed; no fabricated density metric.</x:v>
      </x:c>
    </x:row>
    <x:row r="9" ht="60" customHeight="1">
      <x:c r="A9" s="9" t="str">
        <x:v>F005</x:v>
      </x:c>
      <x:c r="B9" s="9" t="str">
        <x:v>AiSettingsServiceTests</x:v>
      </x:c>
      <x:c r="C9" s="9" t="str">
        <x:v>SaveAdminAsync</x:v>
      </x:c>
      <x:c r="D9" s="9" t="n">
        <x:v>3</x:v>
      </x:c>
      <x:c r="E9" s="9" t="str">
        <x:v>apps/api/tests/SmartLibrary.UnitTests/Features/Ai/AiSettingsServiceTests.cs:76</x:v>
      </x:c>
      <x:c r="F9" s="9" t="str">
        <x:v>LOC/KLOC target not agreed; no fabricated density metric.</x:v>
      </x:c>
    </x:row>
    <x:row r="10" ht="60" customHeight="1">
      <x:c r="A10" s="9" t="str">
        <x:v>F006</x:v>
      </x:c>
      <x:c r="B10" s="9" t="str">
        <x:v>AiSettingsServiceTests</x:v>
      </x:c>
      <x:c r="C10" s="9" t="str">
        <x:v>SaveLibrarianAsync</x:v>
      </x:c>
      <x:c r="D10" s="9" t="n">
        <x:v>2</x:v>
      </x:c>
      <x:c r="E10" s="9" t="str">
        <x:v>apps/api/tests/SmartLibrary.UnitTests/Features/Ai/AiSettingsServiceTests.cs:228</x:v>
      </x:c>
      <x:c r="F10" s="9" t="str">
        <x:v>LOC/KLOC target not agreed; no fabricated density metric.</x:v>
      </x:c>
    </x:row>
    <x:row r="11" ht="60" customHeight="1">
      <x:c r="A11" s="9" t="str">
        <x:v>F007</x:v>
      </x:c>
      <x:c r="B11" s="9" t="str">
        <x:v>AiSettingsServiceTests</x:v>
      </x:c>
      <x:c r="C11" s="9" t="str">
        <x:v>SaveMyProviderAsync</x:v>
      </x:c>
      <x:c r="D11" s="9" t="n">
        <x:v>5</x:v>
      </x:c>
      <x:c r="E11" s="9" t="str">
        <x:v>apps/api/tests/SmartLibrary.UnitTests/Features/Ai/AiSettingsServiceTests.cs:191</x:v>
      </x:c>
      <x:c r="F11" s="9" t="str">
        <x:v>LOC/KLOC target not agreed; no fabricated density metric.</x:v>
      </x:c>
    </x:row>
    <x:row r="12" ht="60" customHeight="1">
      <x:c r="A12" s="9" t="str">
        <x:v>F008</x:v>
      </x:c>
      <x:c r="B12" s="9" t="str">
        <x:v>AiSettingsServiceTests</x:v>
      </x:c>
      <x:c r="C12" s="9" t="str">
        <x:v>SetLibrarianAccountEnabledAsync</x:v>
      </x:c>
      <x:c r="D12" s="9" t="n">
        <x:v>1</x:v>
      </x:c>
      <x:c r="E12" s="9" t="str">
        <x:v>apps/api/tests/SmartLibrary.UnitTests/Features/Ai/AiSettingsServiceTests.cs:637</x:v>
      </x:c>
      <x:c r="F12" s="9" t="str">
        <x:v>LOC/KLOC target not agreed; no fabricated density metric.</x:v>
      </x:c>
    </x:row>
    <x:row r="13" ht="60" customHeight="1">
      <x:c r="A13" s="9" t="str">
        <x:v>F009</x:v>
      </x:c>
      <x:c r="B13" s="9" t="str">
        <x:v>AiSettingsServiceTests</x:v>
      </x:c>
      <x:c r="C13" s="9" t="str">
        <x:v>TestConnectionAsync</x:v>
      </x:c>
      <x:c r="D13" s="9" t="n">
        <x:v>4</x:v>
      </x:c>
      <x:c r="E13" s="9" t="str">
        <x:v>apps/api/tests/SmartLibrary.UnitTests/Features/Ai/AiSettingsServiceTests.cs:457</x:v>
      </x:c>
      <x:c r="F13" s="9" t="str">
        <x:v>LOC/KLOC target not agreed; no fabricated density metric.</x:v>
      </x:c>
    </x:row>
    <x:row r="14" ht="60" customHeight="1">
      <x:c r="A14" s="9" t="str">
        <x:v>F010</x:v>
      </x:c>
      <x:c r="B14" s="9" t="str">
        <x:v>RegisterCommandValidatorTests</x:v>
      </x:c>
      <x:c r="C14" s="9" t="str">
        <x:v>Validate</x:v>
      </x:c>
      <x:c r="D14" s="9" t="n">
        <x:v>4</x:v>
      </x:c>
      <x:c r="E14" s="9" t="str">
        <x:v>apps/api/tests/SmartLibrary.UnitTests/Features/Auth/RegisterCommandValidatorTests.cs:31</x:v>
      </x:c>
      <x:c r="F14" s="9" t="str">
        <x:v>LOC/KLOC target not agreed; no fabricated density metric.</x:v>
      </x:c>
    </x:row>
    <x:row r="15" ht="60" customHeight="1">
      <x:c r="A15" s="9" t="str">
        <x:v>F011</x:v>
      </x:c>
      <x:c r="B15" s="9" t="str">
        <x:v>BookKeywordRankerTests</x:v>
      </x:c>
      <x:c r="C15" s="9" t="str">
        <x:v>ShortPrefix</x:v>
      </x:c>
      <x:c r="D15" s="9" t="n">
        <x:v>1</x:v>
      </x:c>
      <x:c r="E15" s="9" t="str">
        <x:v>apps/api/tests/SmartLibrary.UnitTests/Features/Books/BookKeywordRankerTests.cs:27</x:v>
      </x:c>
      <x:c r="F15" s="9" t="str">
        <x:v>LOC/KLOC target not agreed; no fabricated density metric.</x:v>
      </x:c>
    </x:row>
    <x:row r="16" ht="60" customHeight="1">
      <x:c r="A16" s="9" t="str">
        <x:v>F012</x:v>
      </x:c>
      <x:c r="B16" s="9" t="str">
        <x:v>BookKeywordRankerTests</x:v>
      </x:c>
      <x:c r="C16" s="9" t="str">
        <x:v>ShortTitlePrefixes</x:v>
      </x:c>
      <x:c r="D16" s="9" t="n">
        <x:v>3</x:v>
      </x:c>
      <x:c r="E16" s="9" t="str">
        <x:v>apps/api/tests/SmartLibrary.UnitTests/Features/Books/BookKeywordRankerTests.cs:12</x:v>
      </x:c>
      <x:c r="F16" s="9" t="str">
        <x:v>LOC/KLOC target not agreed; no fabricated density metric.</x:v>
      </x:c>
    </x:row>
    <x:row r="17" ht="60" customHeight="1">
      <x:c r="A17" s="9" t="str">
        <x:v>F013</x:v>
      </x:c>
      <x:c r="B17" s="9" t="str">
        <x:v>BookServiceTests</x:v>
      </x:c>
      <x:c r="C17" s="9" t="str">
        <x:v>CreateAsync</x:v>
      </x:c>
      <x:c r="D17" s="9" t="n">
        <x:v>1</x:v>
      </x:c>
      <x:c r="E17" s="9" t="str">
        <x:v>apps/api/tests/SmartLibrary.UnitTests/Features/Books/BookServiceTests.cs:84</x:v>
      </x:c>
      <x:c r="F17" s="9" t="str">
        <x:v>LOC/KLOC target not agreed; no fabricated density metric.</x:v>
      </x:c>
    </x:row>
    <x:row r="18" ht="60" customHeight="1">
      <x:c r="A18" s="9" t="str">
        <x:v>F014</x:v>
      </x:c>
      <x:c r="B18" s="9" t="str">
        <x:v>BookServiceTests</x:v>
      </x:c>
      <x:c r="C18" s="9" t="str">
        <x:v>DeleteAsync</x:v>
      </x:c>
      <x:c r="D18" s="9" t="n">
        <x:v>1</x:v>
      </x:c>
      <x:c r="E18" s="9" t="str">
        <x:v>apps/api/tests/SmartLibrary.UnitTests/Features/Books/BookServiceTests.cs:113</x:v>
      </x:c>
      <x:c r="F18" s="9" t="str">
        <x:v>LOC/KLOC target not agreed; no fabricated density metric.</x:v>
      </x:c>
    </x:row>
    <x:row r="19" ht="60" customHeight="1">
      <x:c r="A19" s="9" t="str">
        <x:v>F015</x:v>
      </x:c>
      <x:c r="B19" s="9" t="str">
        <x:v>BookServiceTests</x:v>
      </x:c>
      <x:c r="C19" s="9" t="str">
        <x:v>GetByIdAsync</x:v>
      </x:c>
      <x:c r="D19" s="9" t="n">
        <x:v>2</x:v>
      </x:c>
      <x:c r="E19" s="9" t="str">
        <x:v>apps/api/tests/SmartLibrary.UnitTests/Features/Books/BookServiceTests.cs:67</x:v>
      </x:c>
      <x:c r="F19" s="9" t="str">
        <x:v>LOC/KLOC target not agreed; no fabricated density metric.</x:v>
      </x:c>
    </x:row>
    <x:row r="20" ht="60" customHeight="1">
      <x:c r="A20" s="9" t="str">
        <x:v>F016</x:v>
      </x:c>
      <x:c r="B20" s="9" t="str">
        <x:v>CirculationRulesTests</x:v>
      </x:c>
      <x:c r="C20" s="9" t="str">
        <x:v>BorrowDays</x:v>
      </x:c>
      <x:c r="D20" s="9" t="n">
        <x:v>2</x:v>
      </x:c>
      <x:c r="E20" s="9" t="str">
        <x:v>apps/api/tests/SmartLibrary.UnitTests/Features/Circulation/CirculationRulesTests.cs:223</x:v>
      </x:c>
      <x:c r="F20" s="9" t="str">
        <x:v>LOC/KLOC target not agreed; no fabricated density metric.</x:v>
      </x:c>
    </x:row>
    <x:row r="21" ht="60" customHeight="1">
      <x:c r="A21" s="9" t="str">
        <x:v>F017</x:v>
      </x:c>
      <x:c r="B21" s="9" t="str">
        <x:v>CirculationRulesTests</x:v>
      </x:c>
      <x:c r="C21" s="9" t="str">
        <x:v>CalendarOverdueDays</x:v>
      </x:c>
      <x:c r="D21" s="9" t="n">
        <x:v>5</x:v>
      </x:c>
      <x:c r="E21" s="9" t="str">
        <x:v>apps/api/tests/SmartLibrary.UnitTests/Features/Circulation/CirculationRulesTests.cs:36</x:v>
      </x:c>
      <x:c r="F21" s="9" t="str">
        <x:v>LOC/KLOC target not agreed; no fabricated density metric.</x:v>
      </x:c>
    </x:row>
    <x:row r="22" ht="60" customHeight="1">
      <x:c r="A22" s="9" t="str">
        <x:v>F018</x:v>
      </x:c>
      <x:c r="B22" s="9" t="str">
        <x:v>CirculationRulesTests</x:v>
      </x:c>
      <x:c r="C22" s="9" t="str">
        <x:v>IsTextbook</x:v>
      </x:c>
      <x:c r="D22" s="9" t="n">
        <x:v>1</x:v>
      </x:c>
      <x:c r="E22" s="9" t="str">
        <x:v>apps/api/tests/SmartLibrary.UnitTests/Features/Circulation/CirculationRulesTests.cs:239</x:v>
      </x:c>
      <x:c r="F22" s="9" t="str">
        <x:v>LOC/KLOC target not agreed; no fabricated density metric.</x:v>
      </x:c>
    </x:row>
    <x:row r="23" ht="60" customHeight="1">
      <x:c r="A23" s="9" t="str">
        <x:v>F019</x:v>
      </x:c>
      <x:c r="B23" s="9" t="str">
        <x:v>CirculationRulesTests</x:v>
      </x:c>
      <x:c r="C23" s="9" t="str">
        <x:v>IsUnexpiredReadyHold</x:v>
      </x:c>
      <x:c r="D23" s="9" t="n">
        <x:v>1</x:v>
      </x:c>
      <x:c r="E23" s="9" t="str">
        <x:v>apps/api/tests/SmartLibrary.UnitTests/Features/Circulation/CirculationRulesTests.cs:102</x:v>
      </x:c>
      <x:c r="F23" s="9" t="str">
        <x:v>LOC/KLOC target not agreed; no fabricated density metric.</x:v>
      </x:c>
    </x:row>
    <x:row r="24" ht="60" customHeight="1">
      <x:c r="A24" s="9" t="str">
        <x:v>F020</x:v>
      </x:c>
      <x:c r="B24" s="9" t="str">
        <x:v>CirculationRulesTests</x:v>
      </x:c>
      <x:c r="C24" s="9" t="str">
        <x:v>MaxBooksFor</x:v>
      </x:c>
      <x:c r="D24" s="9" t="n">
        <x:v>1</x:v>
      </x:c>
      <x:c r="E24" s="9" t="str">
        <x:v>apps/api/tests/SmartLibrary.UnitTests/Features/Circulation/CirculationRulesTests.cs:213</x:v>
      </x:c>
      <x:c r="F24" s="9" t="str">
        <x:v>LOC/KLOC target not agreed; no fabricated density metric.</x:v>
      </x:c>
    </x:row>
    <x:row r="25" ht="60" customHeight="1">
      <x:c r="A25" s="9" t="str">
        <x:v>F021</x:v>
      </x:c>
      <x:c r="B25" s="9" t="str">
        <x:v>CirculationRulesTests</x:v>
      </x:c>
      <x:c r="C25" s="9" t="str">
        <x:v>OccupiesCopy</x:v>
      </x:c>
      <x:c r="D25" s="9" t="n">
        <x:v>1</x:v>
      </x:c>
      <x:c r="E25" s="9" t="str">
        <x:v>apps/api/tests/SmartLibrary.UnitTests/Features/Circulation/CirculationRulesTests.cs:72</x:v>
      </x:c>
      <x:c r="F25" s="9" t="str">
        <x:v>LOC/KLOC target not agreed; no fabricated density metric.</x:v>
      </x:c>
    </x:row>
    <x:row r="26" ht="60" customHeight="1">
      <x:c r="A26" s="9" t="str">
        <x:v>F022</x:v>
      </x:c>
      <x:c r="B26" s="9" t="str">
        <x:v>CirculationRulesTests</x:v>
      </x:c>
      <x:c r="C26" s="9" t="str">
        <x:v>OverdueFineAmount</x:v>
      </x:c>
      <x:c r="D26" s="9" t="n">
        <x:v>1</x:v>
      </x:c>
      <x:c r="E26" s="9" t="str">
        <x:v>apps/api/tests/SmartLibrary.UnitTests/Features/Circulation/CirculationRulesTests.cs:111</x:v>
      </x:c>
      <x:c r="F26" s="9" t="str">
        <x:v>LOC/KLOC target not agreed; no fabricated density metric.</x:v>
      </x:c>
    </x:row>
    <x:row r="27" ht="60" customHeight="1">
      <x:c r="A27" s="9" t="str">
        <x:v>F023</x:v>
      </x:c>
      <x:c r="B27" s="9" t="str">
        <x:v>CirculationRulesTests</x:v>
      </x:c>
      <x:c r="C27" s="9" t="str">
        <x:v>PickupSlots</x:v>
      </x:c>
      <x:c r="D27" s="9" t="n">
        <x:v>1</x:v>
      </x:c>
      <x:c r="E27" s="9" t="str">
        <x:v>apps/api/tests/SmartLibrary.UnitTests/Features/Circulation/CirculationRulesTests.cs:83</x:v>
      </x:c>
      <x:c r="F27" s="9" t="str">
        <x:v>LOC/KLOC target not agreed; no fabricated density metric.</x:v>
      </x:c>
    </x:row>
    <x:row r="28" ht="60" customHeight="1">
      <x:c r="A28" s="9" t="str">
        <x:v>F024</x:v>
      </x:c>
      <x:c r="B28" s="9" t="str">
        <x:v>CirculationRulesTests</x:v>
      </x:c>
      <x:c r="C28" s="9" t="str">
        <x:v>StartOfLibraryDateUtc</x:v>
      </x:c>
      <x:c r="D28" s="9" t="n">
        <x:v>2</x:v>
      </x:c>
      <x:c r="E28" s="9" t="str">
        <x:v>apps/api/tests/SmartLibrary.UnitTests/Features/Circulation/CirculationRulesTests.cs:65</x:v>
      </x:c>
      <x:c r="F28" s="9" t="str">
        <x:v>LOC/KLOC target not agreed; no fabricated density metric.</x:v>
      </x:c>
    </x:row>
    <x:row r="29" ht="60" customHeight="1">
      <x:c r="A29" s="9" t="str">
        <x:v>F025</x:v>
      </x:c>
      <x:c r="B29" s="9" t="str">
        <x:v>CirculationRulesTests</x:v>
      </x:c>
      <x:c r="C29" s="9" t="str">
        <x:v>ValidateBorrower</x:v>
      </x:c>
      <x:c r="D29" s="9" t="n">
        <x:v>1</x:v>
      </x:c>
      <x:c r="E29" s="9" t="str">
        <x:v>apps/api/tests/SmartLibrary.UnitTests/Features/Circulation/CirculationRulesTests.cs:119</x:v>
      </x:c>
      <x:c r="F29" s="9" t="str">
        <x:v>LOC/KLOC target not agreed; no fabricated density metric.</x:v>
      </x:c>
    </x:row>
    <x:row r="30" ht="60" customHeight="1">
      <x:c r="A30" s="9" t="str">
        <x:v>F026</x:v>
      </x:c>
      <x:c r="B30" s="9" t="str">
        <x:v>CirculationRulesTests</x:v>
      </x:c>
      <x:c r="C30" s="9" t="str">
        <x:v>ValidateIncidentConfirmation</x:v>
      </x:c>
      <x:c r="D30" s="9" t="n">
        <x:v>2</x:v>
      </x:c>
      <x:c r="E30" s="9" t="str">
        <x:v>apps/api/tests/SmartLibrary.UnitTests/Features/Circulation/CirculationRulesTests.cs:260</x:v>
      </x:c>
      <x:c r="F30" s="9" t="str">
        <x:v>LOC/KLOC target not agreed; no fabricated density metric.</x:v>
      </x:c>
    </x:row>
    <x:row r="31" ht="60" customHeight="1">
      <x:c r="A31" s="9" t="str">
        <x:v>F027</x:v>
      </x:c>
      <x:c r="B31" s="9" t="str">
        <x:v>CirculationRulesTests</x:v>
      </x:c>
      <x:c r="C31" s="9" t="str">
        <x:v>ValidateRenewal</x:v>
      </x:c>
      <x:c r="D31" s="9" t="n">
        <x:v>4</x:v>
      </x:c>
      <x:c r="E31" s="9" t="str">
        <x:v>apps/api/tests/SmartLibrary.UnitTests/Features/Circulation/CirculationRulesTests.cs:189</x:v>
      </x:c>
      <x:c r="F31" s="9" t="str">
        <x:v>LOC/KLOC target not agreed; no fabricated density metric.</x:v>
      </x:c>
    </x:row>
    <x:row r="32" ht="60" customHeight="1">
      <x:c r="A32" s="9" t="str">
        <x:v>F028</x:v>
      </x:c>
      <x:c r="B32" s="9" t="str">
        <x:v>CirculationServiceTests</x:v>
      </x:c>
      <x:c r="C32" s="9" t="str">
        <x:v>Approve</x:v>
      </x:c>
      <x:c r="D32" s="9" t="n">
        <x:v>8</x:v>
      </x:c>
      <x:c r="E32" s="9" t="str">
        <x:v>apps/api/tests/SmartLibrary.UnitTests/Features/Circulation/CirculationServiceTests.cs:1149</x:v>
      </x:c>
      <x:c r="F32" s="9" t="str">
        <x:v>LOC/KLOC target not agreed; no fabricated density metric.</x:v>
      </x:c>
    </x:row>
    <x:row r="33" ht="60" customHeight="1">
      <x:c r="A33" s="9" t="str">
        <x:v>F029</x:v>
      </x:c>
      <x:c r="B33" s="9" t="str">
        <x:v>CirculationServiceTests</x:v>
      </x:c>
      <x:c r="C33" s="9" t="str">
        <x:v>Checkout</x:v>
      </x:c>
      <x:c r="D33" s="9" t="n">
        <x:v>6</x:v>
      </x:c>
      <x:c r="E33" s="9" t="str">
        <x:v>apps/api/tests/SmartLibrary.UnitTests/Features/Circulation/CirculationServiceTests.cs:1023</x:v>
      </x:c>
      <x:c r="F33" s="9" t="str">
        <x:v>LOC/KLOC target not agreed; no fabricated density metric.</x:v>
      </x:c>
    </x:row>
    <x:row r="34" ht="60" customHeight="1">
      <x:c r="A34" s="9" t="str">
        <x:v>F030</x:v>
      </x:c>
      <x:c r="B34" s="9" t="str">
        <x:v>CirculationServiceTests</x:v>
      </x:c>
      <x:c r="C34" s="9" t="str">
        <x:v>CompleteCheckout</x:v>
      </x:c>
      <x:c r="D34" s="9" t="n">
        <x:v>3</x:v>
      </x:c>
      <x:c r="E34" s="9" t="str">
        <x:v>apps/api/tests/SmartLibrary.UnitTests/Features/Circulation/CirculationServiceTests.cs:583</x:v>
      </x:c>
      <x:c r="F34" s="9" t="str">
        <x:v>LOC/KLOC target not agreed; no fabricated density metric.</x:v>
      </x:c>
    </x:row>
    <x:row r="35" ht="60" customHeight="1">
      <x:c r="A35" s="9" t="str">
        <x:v>F031</x:v>
      </x:c>
      <x:c r="B35" s="9" t="str">
        <x:v>CirculationServiceTests</x:v>
      </x:c>
      <x:c r="C35" s="9" t="str">
        <x:v>ConfirmIncident</x:v>
      </x:c>
      <x:c r="D35" s="9" t="n">
        <x:v>6</x:v>
      </x:c>
      <x:c r="E35" s="9" t="str">
        <x:v>apps/api/tests/SmartLibrary.UnitTests/Features/Circulation/CirculationServiceTests.cs:376</x:v>
      </x:c>
      <x:c r="F35" s="9" t="str">
        <x:v>LOC/KLOC target not agreed; no fabricated density metric.</x:v>
      </x:c>
    </x:row>
    <x:row r="36" ht="60" customHeight="1">
      <x:c r="A36" s="9" t="str">
        <x:v>F032</x:v>
      </x:c>
      <x:c r="B36" s="9" t="str">
        <x:v>CirculationServiceTests</x:v>
      </x:c>
      <x:c r="C36" s="9" t="str">
        <x:v>CreateBookReservation</x:v>
      </x:c>
      <x:c r="D36" s="9" t="n">
        <x:v>1</x:v>
      </x:c>
      <x:c r="E36" s="9" t="str">
        <x:v>apps/api/tests/SmartLibrary.UnitTests/Features/Circulation/CirculationServiceTests.cs:873</x:v>
      </x:c>
      <x:c r="F36" s="9" t="str">
        <x:v>LOC/KLOC target not agreed; no fabricated density metric.</x:v>
      </x:c>
    </x:row>
    <x:row r="37" ht="60" customHeight="1">
      <x:c r="A37" s="9" t="str">
        <x:v>F033</x:v>
      </x:c>
      <x:c r="B37" s="9" t="str">
        <x:v>CirculationServiceTests</x:v>
      </x:c>
      <x:c r="C37" s="9" t="str">
        <x:v>CreateLibrarianReservation</x:v>
      </x:c>
      <x:c r="D37" s="9" t="n">
        <x:v>2</x:v>
      </x:c>
      <x:c r="E37" s="9" t="str">
        <x:v>apps/api/tests/SmartLibrary.UnitTests/Features/Circulation/CirculationServiceTests.cs:892</x:v>
      </x:c>
      <x:c r="F37" s="9" t="str">
        <x:v>LOC/KLOC target not agreed; no fabricated density metric.</x:v>
      </x:c>
    </x:row>
    <x:row r="38" ht="60" customHeight="1">
      <x:c r="A38" s="9" t="str">
        <x:v>F034</x:v>
      </x:c>
      <x:c r="B38" s="9" t="str">
        <x:v>CirculationServiceTests</x:v>
      </x:c>
      <x:c r="C38" s="9" t="str">
        <x:v>CreatePayOSCheckout</x:v>
      </x:c>
      <x:c r="D38" s="9" t="n">
        <x:v>1</x:v>
      </x:c>
      <x:c r="E38" s="9" t="str">
        <x:v>apps/api/tests/SmartLibrary.UnitTests/Features/Circulation/CirculationServiceTests.cs:222</x:v>
      </x:c>
      <x:c r="F38" s="9" t="str">
        <x:v>LOC/KLOC target not agreed; no fabricated density metric.</x:v>
      </x:c>
    </x:row>
    <x:row r="39" ht="60" customHeight="1">
      <x:c r="A39" s="9" t="str">
        <x:v>F035</x:v>
      </x:c>
      <x:c r="B39" s="9" t="str">
        <x:v>CirculationServiceTests</x:v>
      </x:c>
      <x:c r="C39" s="9" t="str">
        <x:v>ExpireHold</x:v>
      </x:c>
      <x:c r="D39" s="9" t="n">
        <x:v>1</x:v>
      </x:c>
      <x:c r="E39" s="9" t="str">
        <x:v>apps/api/tests/SmartLibrary.UnitTests/Features/Circulation/CirculationServiceTests.cs:1180</x:v>
      </x:c>
      <x:c r="F39" s="9" t="str">
        <x:v>LOC/KLOC target not agreed; no fabricated density metric.</x:v>
      </x:c>
    </x:row>
    <x:row r="40" ht="60" customHeight="1">
      <x:c r="A40" s="9" t="str">
        <x:v>F036</x:v>
      </x:c>
      <x:c r="B40" s="9" t="str">
        <x:v>CirculationServiceTests</x:v>
      </x:c>
      <x:c r="C40" s="9" t="str">
        <x:v>ExpireUncollectedPickup</x:v>
      </x:c>
      <x:c r="D40" s="9" t="n">
        <x:v>1</x:v>
      </x:c>
      <x:c r="E40" s="9" t="str">
        <x:v>apps/api/tests/SmartLibrary.UnitTests/Features/Circulation/CirculationServiceTests.cs:635</x:v>
      </x:c>
      <x:c r="F40" s="9" t="str">
        <x:v>LOC/KLOC target not agreed; no fabricated density metric.</x:v>
      </x:c>
    </x:row>
    <x:row r="41" ht="60" customHeight="1">
      <x:c r="A41" s="9" t="str">
        <x:v>F037</x:v>
      </x:c>
      <x:c r="B41" s="9" t="str">
        <x:v>CirculationServiceTests</x:v>
      </x:c>
      <x:c r="C41" s="9" t="str">
        <x:v>GetBorrowableCopyCount</x:v>
      </x:c>
      <x:c r="D41" s="9" t="n">
        <x:v>1</x:v>
      </x:c>
      <x:c r="E41" s="9" t="str">
        <x:v>apps/api/tests/SmartLibrary.UnitTests/Features/Circulation/CirculationServiceTests.cs:955</x:v>
      </x:c>
      <x:c r="F41" s="9" t="str">
        <x:v>LOC/KLOC target not agreed; no fabricated density metric.</x:v>
      </x:c>
    </x:row>
    <x:row r="42" ht="60" customHeight="1">
      <x:c r="A42" s="9" t="str">
        <x:v>F038</x:v>
      </x:c>
      <x:c r="B42" s="9" t="str">
        <x:v>CirculationServiceTests</x:v>
      </x:c>
      <x:c r="C42" s="9" t="str">
        <x:v>GetMyFines</x:v>
      </x:c>
      <x:c r="D42" s="9" t="n">
        <x:v>1</x:v>
      </x:c>
      <x:c r="E42" s="9" t="str">
        <x:v>apps/api/tests/SmartLibrary.UnitTests/Features/Circulation/CirculationServiceTests.cs:1016</x:v>
      </x:c>
      <x:c r="F42" s="9" t="str">
        <x:v>LOC/KLOC target not agreed; no fabricated density metric.</x:v>
      </x:c>
    </x:row>
    <x:row r="43" ht="60" customHeight="1">
      <x:c r="A43" s="9" t="str">
        <x:v>F039</x:v>
      </x:c>
      <x:c r="B43" s="9" t="str">
        <x:v>CirculationServiceTests</x:v>
      </x:c>
      <x:c r="C43" s="9" t="str">
        <x:v>PayFine</x:v>
      </x:c>
      <x:c r="D43" s="9" t="n">
        <x:v>2</x:v>
      </x:c>
      <x:c r="E43" s="9" t="str">
        <x:v>apps/api/tests/SmartLibrary.UnitTests/Features/Circulation/CirculationServiceTests.cs:175</x:v>
      </x:c>
      <x:c r="F43" s="9" t="str">
        <x:v>LOC/KLOC target not agreed; no fabricated density metric.</x:v>
      </x:c>
    </x:row>
    <x:row r="44" ht="60" customHeight="1">
      <x:c r="A44" s="9" t="str">
        <x:v>F040</x:v>
      </x:c>
      <x:c r="B44" s="9" t="str">
        <x:v>CirculationServiceTests</x:v>
      </x:c>
      <x:c r="C44" s="9" t="str">
        <x:v>ProcessPayOSWebhook</x:v>
      </x:c>
      <x:c r="D44" s="9" t="n">
        <x:v>1</x:v>
      </x:c>
      <x:c r="E44" s="9" t="str">
        <x:v>apps/api/tests/SmartLibrary.UnitTests/Features/Circulation/CirculationServiceTests.cs:253</x:v>
      </x:c>
      <x:c r="F44" s="9" t="str">
        <x:v>LOC/KLOC target not agreed; no fabricated density metric.</x:v>
      </x:c>
    </x:row>
    <x:row r="45" ht="60" customHeight="1">
      <x:c r="A45" s="9" t="str">
        <x:v>F041</x:v>
      </x:c>
      <x:c r="B45" s="9" t="str">
        <x:v>CirculationServiceTests</x:v>
      </x:c>
      <x:c r="C45" s="9" t="str">
        <x:v>RecordFine</x:v>
      </x:c>
      <x:c r="D45" s="9" t="n">
        <x:v>2</x:v>
      </x:c>
      <x:c r="E45" s="9" t="str">
        <x:v>apps/api/tests/SmartLibrary.UnitTests/Features/Circulation/CirculationServiceTests.cs:308</x:v>
      </x:c>
      <x:c r="F45" s="9" t="str">
        <x:v>LOC/KLOC target not agreed; no fabricated density metric.</x:v>
      </x:c>
    </x:row>
    <x:row r="46" ht="60" customHeight="1">
      <x:c r="A46" s="9" t="str">
        <x:v>F042</x:v>
      </x:c>
      <x:c r="B46" s="9" t="str">
        <x:v>CirculationServiceTests</x:v>
      </x:c>
      <x:c r="C46" s="9" t="str">
        <x:v>Renew</x:v>
      </x:c>
      <x:c r="D46" s="9" t="n">
        <x:v>4</x:v>
      </x:c>
      <x:c r="E46" s="9" t="str">
        <x:v>apps/api/tests/SmartLibrary.UnitTests/Features/Circulation/CirculationServiceTests.cs:749</x:v>
      </x:c>
      <x:c r="F46" s="9" t="str">
        <x:v>LOC/KLOC target not agreed; no fabricated density metric.</x:v>
      </x:c>
    </x:row>
    <x:row r="47" ht="60" customHeight="1">
      <x:c r="A47" s="9" t="str">
        <x:v>F043</x:v>
      </x:c>
      <x:c r="B47" s="9" t="str">
        <x:v>CirculationServiceTests</x:v>
      </x:c>
      <x:c r="C47" s="9" t="str">
        <x:v>ReportIncident</x:v>
      </x:c>
      <x:c r="D47" s="9" t="n">
        <x:v>1</x:v>
      </x:c>
      <x:c r="E47" s="9" t="str">
        <x:v>apps/api/tests/SmartLibrary.UnitTests/Features/Circulation/CirculationServiceTests.cs:807</x:v>
      </x:c>
      <x:c r="F47" s="9" t="str">
        <x:v>LOC/KLOC target not agreed; no fabricated density metric.</x:v>
      </x:c>
    </x:row>
    <x:row r="48" ht="60" customHeight="1">
      <x:c r="A48" s="9" t="str">
        <x:v>F044</x:v>
      </x:c>
      <x:c r="B48" s="9" t="str">
        <x:v>CirculationServiceTests</x:v>
      </x:c>
      <x:c r="C48" s="9" t="str">
        <x:v>RequestBorrow</x:v>
      </x:c>
      <x:c r="D48" s="9" t="n">
        <x:v>3</x:v>
      </x:c>
      <x:c r="E48" s="9" t="str">
        <x:v>apps/api/tests/SmartLibrary.UnitTests/Features/Circulation/CirculationServiceTests.cs:493</x:v>
      </x:c>
      <x:c r="F48" s="9" t="str">
        <x:v>LOC/KLOC target not agreed; no fabricated density metric.</x:v>
      </x:c>
    </x:row>
    <x:row r="49" ht="60" customHeight="1">
      <x:c r="A49" s="9" t="str">
        <x:v>F045</x:v>
      </x:c>
      <x:c r="B49" s="9" t="str">
        <x:v>CirculationServiceTests</x:v>
      </x:c>
      <x:c r="C49" s="9" t="str">
        <x:v>Return</x:v>
      </x:c>
      <x:c r="D49" s="9" t="n">
        <x:v>6</x:v>
      </x:c>
      <x:c r="E49" s="9" t="str">
        <x:v>apps/api/tests/SmartLibrary.UnitTests/Features/Circulation/CirculationServiceTests.cs:967</x:v>
      </x:c>
      <x:c r="F49" s="9" t="str">
        <x:v>LOC/KLOC target not agreed; no fabricated density metric.</x:v>
      </x:c>
    </x:row>
    <x:row r="50" ht="60" customHeight="1">
      <x:c r="A50" s="9" t="str">
        <x:v>F046</x:v>
      </x:c>
      <x:c r="B50" s="9" t="str">
        <x:v>CirculationServiceTests</x:v>
      </x:c>
      <x:c r="C50" s="9" t="str">
        <x:v>SearchBookOptions</x:v>
      </x:c>
      <x:c r="D50" s="9" t="n">
        <x:v>1</x:v>
      </x:c>
      <x:c r="E50" s="9" t="str">
        <x:v>apps/api/tests/SmartLibrary.UnitTests/Features/Circulation/CirculationServiceTests.cs:96</x:v>
      </x:c>
      <x:c r="F50" s="9" t="str">
        <x:v>LOC/KLOC target not agreed; no fabricated density metric.</x:v>
      </x:c>
    </x:row>
    <x:row r="51" ht="60" customHeight="1">
      <x:c r="A51" s="9" t="str">
        <x:v>F047</x:v>
      </x:c>
      <x:c r="B51" s="9" t="str">
        <x:v>CirculationServiceTests</x:v>
      </x:c>
      <x:c r="C51" s="9" t="str">
        <x:v>SearchReaderOptions</x:v>
      </x:c>
      <x:c r="D51" s="9" t="n">
        <x:v>3</x:v>
      </x:c>
      <x:c r="E51" s="9" t="str">
        <x:v>apps/api/tests/SmartLibrary.UnitTests/Features/Circulation/CirculationServiceTests.cs:85</x:v>
      </x:c>
      <x:c r="F51" s="9" t="str">
        <x:v>LOC/KLOC target not agreed; no fabricated density metric.</x:v>
      </x:c>
    </x:row>
    <x:row r="52" ht="60" customHeight="1">
      <x:c r="A52" s="9" t="str">
        <x:v>F048</x:v>
      </x:c>
      <x:c r="B52" s="9" t="str">
        <x:v>AiCredentialAlertTests</x:v>
      </x:c>
      <x:c r="C52" s="9" t="str">
        <x:v>Classify</x:v>
      </x:c>
      <x:c r="D52" s="9" t="n">
        <x:v>5</x:v>
      </x:c>
      <x:c r="E52" s="9" t="str">
        <x:v>apps/api/tests/SmartLibrary.UnitTests/Features/Notifications/AiCredentialAlertTests.cs:13</x:v>
      </x:c>
      <x:c r="F52" s="9" t="str">
        <x:v>LOC/KLOC target not agreed; no fabricated density metric.</x:v>
      </x:c>
    </x:row>
    <x:row r="53" ht="60" customHeight="1">
      <x:c r="A53" s="9" t="str">
        <x:v>F049</x:v>
      </x:c>
      <x:c r="B53" s="9" t="str">
        <x:v>NotificationInboxTests</x:v>
      </x:c>
      <x:c r="C53" s="9" t="str">
        <x:v>Map</x:v>
      </x:c>
      <x:c r="D53" s="9" t="n">
        <x:v>4</x:v>
      </x:c>
      <x:c r="E53" s="9" t="str">
        <x:v>apps/api/tests/SmartLibrary.UnitTests/Features/Notifications/NotificationInboxTests.cs:58</x:v>
      </x:c>
      <x:c r="F53" s="9" t="str">
        <x:v>LOC/KLOC target not agreed; no fabricated density metric.</x:v>
      </x:c>
    </x:row>
    <x:row r="54" ht="60" customHeight="1">
      <x:c r="A54" s="9" t="str">
        <x:v>F050</x:v>
      </x:c>
      <x:c r="B54" s="9" t="str">
        <x:v>NotificationInboxTests</x:v>
      </x:c>
      <x:c r="C54" s="9" t="str">
        <x:v>NotifyAiCredentialAsync</x:v>
      </x:c>
      <x:c r="D54" s="9" t="n">
        <x:v>2</x:v>
      </x:c>
      <x:c r="E54" s="9" t="str">
        <x:v>apps/api/tests/SmartLibrary.UnitTests/Features/Notifications/NotificationInboxTests.cs:23</x:v>
      </x:c>
      <x:c r="F54" s="9" t="str">
        <x:v>LOC/KLOC target not agreed; no fabricated density metric.</x:v>
      </x:c>
    </x:row>
    <x:row r="55" ht="60" customHeight="1">
      <x:c r="A55" s="9" t="str">
        <x:v>F051</x:v>
      </x:c>
      <x:c r="B55" s="9" t="str">
        <x:v>PolicyParameterRulesTests</x:v>
      </x:c>
      <x:c r="C55" s="9" t="str">
        <x:v>Validate</x:v>
      </x:c>
      <x:c r="D55" s="9" t="n">
        <x:v>6</x:v>
      </x:c>
      <x:c r="E55" s="9" t="str">
        <x:v>apps/api/tests/SmartLibrary.UnitTests/Features/Policies/PolicyParameterRulesTests.cs:10</x:v>
      </x:c>
      <x:c r="F55" s="9" t="str">
        <x:v>LOC/KLOC target not agreed; no fabricated density metric.</x:v>
      </x:c>
    </x:row>
    <x:row r="56" ht="60" customHeight="1">
      <x:c r="A56" s="9" t="str">
        <x:v>F052</x:v>
      </x:c>
      <x:c r="B56" s="9" t="str">
        <x:v>RagSemanticEnhancementTests</x:v>
      </x:c>
      <x:c r="C56" s="9" t="str">
        <x:v>BookKeywordRanker</x:v>
      </x:c>
      <x:c r="D56" s="9" t="n">
        <x:v>1</x:v>
      </x:c>
      <x:c r="E56" s="9" t="str">
        <x:v>apps/api/tests/SmartLibrary.UnitTests/Features/Rag/RagSemanticEnhancementTests.cs:80</x:v>
      </x:c>
      <x:c r="F56" s="9" t="str">
        <x:v>LOC/KLOC target not agreed; no fabricated density metric.</x:v>
      </x:c>
    </x:row>
    <x:row r="57" ht="60" customHeight="1">
      <x:c r="A57" s="9" t="str">
        <x:v>F053</x:v>
      </x:c>
      <x:c r="B57" s="9" t="str">
        <x:v>RagSemanticEnhancementTests</x:v>
      </x:c>
      <x:c r="C57" s="9" t="str">
        <x:v>QueryExpander</x:v>
      </x:c>
      <x:c r="D57" s="9" t="n">
        <x:v>2</x:v>
      </x:c>
      <x:c r="E57" s="9" t="str">
        <x:v>apps/api/tests/SmartLibrary.UnitTests/Features/Rag/RagSemanticEnhancementTests.cs:54</x:v>
      </x:c>
      <x:c r="F57" s="9" t="str">
        <x:v>LOC/KLOC target not agreed; no fabricated density metric.</x:v>
      </x:c>
    </x:row>
    <x:row r="58" ht="60" customHeight="1">
      <x:c r="A58" s="9" t="str">
        <x:v>F054</x:v>
      </x:c>
      <x:c r="B58" s="9" t="str">
        <x:v>RagSemanticEnhancementTests</x:v>
      </x:c>
      <x:c r="C58" s="9" t="str">
        <x:v>SearchTopicGuard</x:v>
      </x:c>
      <x:c r="D58" s="9" t="n">
        <x:v>1</x:v>
      </x:c>
      <x:c r="E58" s="9" t="str">
        <x:v>apps/api/tests/SmartLibrary.UnitTests/Features/Rag/RagSemanticEnhancementTests.cs:62</x:v>
      </x:c>
      <x:c r="F58" s="9" t="str">
        <x:v>LOC/KLOC target not agreed; no fabricated density metric.</x:v>
      </x:c>
    </x:row>
    <x:row r="59" ht="60" customHeight="1">
      <x:c r="A59" s="9" t="str">
        <x:v>F055</x:v>
      </x:c>
      <x:c r="B59" s="9" t="str">
        <x:v>RagSemanticEnhancementTests</x:v>
      </x:c>
      <x:c r="C59" s="9" t="str">
        <x:v>SemanticSynonyms</x:v>
      </x:c>
      <x:c r="D59" s="9" t="n">
        <x:v>2</x:v>
      </x:c>
      <x:c r="E59" s="9" t="str">
        <x:v>apps/api/tests/SmartLibrary.UnitTests/Features/Rag/RagSemanticEnhancementTests.cs:10</x:v>
      </x:c>
      <x:c r="F59" s="9" t="str">
        <x:v>LOC/KLOC target not agreed; no fabricated density metric.</x:v>
      </x:c>
    </x:row>
    <x:row r="60" ht="60" customHeight="1">
      <x:c r="A60" s="9" t="str">
        <x:v>F056</x:v>
      </x:c>
      <x:c r="B60" s="9" t="str">
        <x:v>RagServiceTests</x:v>
      </x:c>
      <x:c r="C60" s="9" t="str">
        <x:v>AskAsync</x:v>
      </x:c>
      <x:c r="D60" s="9" t="n">
        <x:v>25</x:v>
      </x:c>
      <x:c r="E60" s="9" t="str">
        <x:v>apps/api/tests/SmartLibrary.UnitTests/Features/Rag/RagServiceTests.cs:112</x:v>
      </x:c>
      <x:c r="F60" s="9" t="str">
        <x:v>LOC/KLOC target not agreed; no fabricated density metric.</x:v>
      </x:c>
    </x:row>
    <x:row r="61" ht="60" customHeight="1">
      <x:c r="A61" s="9" t="str">
        <x:v>F057</x:v>
      </x:c>
      <x:c r="B61" s="9" t="str">
        <x:v>RagServiceTests</x:v>
      </x:c>
      <x:c r="C61" s="9" t="str">
        <x:v>ReindexAsync</x:v>
      </x:c>
      <x:c r="D61" s="9" t="n">
        <x:v>1</x:v>
      </x:c>
      <x:c r="E61" s="9" t="str">
        <x:v>apps/api/tests/SmartLibrary.UnitTests/Features/Rag/RagServiceTests.cs:654</x:v>
      </x:c>
      <x:c r="F61" s="9" t="str">
        <x:v>LOC/KLOC target not agreed; no fabricated density metric.</x:v>
      </x:c>
    </x:row>
    <x:row r="62" ht="60" customHeight="1">
      <x:c r="A62" s="9" t="str">
        <x:v>F058</x:v>
      </x:c>
      <x:c r="B62" s="9" t="str">
        <x:v>RagServiceTests</x:v>
      </x:c>
      <x:c r="C62" s="9" t="str">
        <x:v>SuggestAcquisitionsAsync</x:v>
      </x:c>
      <x:c r="D62" s="9" t="n">
        <x:v>1</x:v>
      </x:c>
      <x:c r="E62" s="9" t="str">
        <x:v>apps/api/tests/SmartLibrary.UnitTests/Features/Rag/RagServiceTests.cs:664</x:v>
      </x:c>
      <x:c r="F62" s="9" t="str">
        <x:v>LOC/KLOC target not agreed; no fabricated density metric.</x:v>
      </x:c>
    </x:row>
    <x:row r="63" ht="60" customHeight="1">
      <x:c r="A63" s="9" t="str">
        <x:v>F059</x:v>
      </x:c>
      <x:c r="B63" s="9" t="str">
        <x:v>RealCatalogTopicTests</x:v>
      </x:c>
      <x:c r="C63" s="9" t="str">
        <x:v>CompoundAuthorAndForeignLanguage</x:v>
      </x:c>
      <x:c r="D63" s="9" t="n">
        <x:v>1</x:v>
      </x:c>
      <x:c r="E63" s="9" t="str">
        <x:v>apps/api/tests/SmartLibrary.UnitTests/Features/Rag/RealCatalogTopicTests.cs:109</x:v>
      </x:c>
      <x:c r="F63" s="9" t="str">
        <x:v>LOC/KLOC target not agreed; no fabricated density metric.</x:v>
      </x:c>
    </x:row>
    <x:row r="64" ht="60" customHeight="1">
      <x:c r="A64" s="9" t="str">
        <x:v>F060</x:v>
      </x:c>
      <x:c r="B64" s="9" t="str">
        <x:v>RealCatalogTopicTests</x:v>
      </x:c>
      <x:c r="C64" s="9" t="str">
        <x:v>CompoundPythonAndCleanCode</x:v>
      </x:c>
      <x:c r="D64" s="9" t="n">
        <x:v>1</x:v>
      </x:c>
      <x:c r="E64" s="9" t="str">
        <x:v>apps/api/tests/SmartLibrary.UnitTests/Features/Rag/RealCatalogTopicTests.cs:119</x:v>
      </x:c>
      <x:c r="F64" s="9" t="str">
        <x:v>LOC/KLOC target not agreed; no fabricated density metric.</x:v>
      </x:c>
    </x:row>
    <x:row r="65" ht="60" customHeight="1">
      <x:c r="A65" s="9" t="str">
        <x:v>F061</x:v>
      </x:c>
      <x:c r="B65" s="9" t="str">
        <x:v>RealCatalogTopicTests</x:v>
      </x:c>
      <x:c r="C65" s="9" t="str">
        <x:v>EnglishGrammar</x:v>
      </x:c>
      <x:c r="D65" s="9" t="n">
        <x:v>1</x:v>
      </x:c>
      <x:c r="E65" s="9" t="str">
        <x:v>apps/api/tests/SmartLibrary.UnitTests/Features/Rag/RealCatalogTopicTests.cs:47</x:v>
      </x:c>
      <x:c r="F65" s="9" t="str">
        <x:v>LOC/KLOC target not agreed; no fabricated density metric.</x:v>
      </x:c>
    </x:row>
    <x:row r="66" ht="60" customHeight="1">
      <x:c r="A66" s="9" t="str">
        <x:v>F062</x:v>
      </x:c>
      <x:c r="B66" s="9" t="str">
        <x:v>RealCatalogTopicTests</x:v>
      </x:c>
      <x:c r="C66" s="9" t="str">
        <x:v>EnglishLanguageLearningQuery</x:v>
      </x:c>
      <x:c r="D66" s="9" t="n">
        <x:v>1</x:v>
      </x:c>
      <x:c r="E66" s="9" t="str">
        <x:v>apps/api/tests/SmartLibrary.UnitTests/Features/Rag/RealCatalogTopicTests.cs:53</x:v>
      </x:c>
      <x:c r="F66" s="9" t="str">
        <x:v>LOC/KLOC target not agreed; no fabricated density metric.</x:v>
      </x:c>
    </x:row>
    <x:row r="67" ht="60" customHeight="1">
      <x:c r="A67" s="9" t="str">
        <x:v>F063</x:v>
      </x:c>
      <x:c r="B67" s="9" t="str">
        <x:v>RealCatalogTopicTests</x:v>
      </x:c>
      <x:c r="C67" s="9" t="str">
        <x:v>ExactIsbn</x:v>
      </x:c>
      <x:c r="D67" s="9" t="n">
        <x:v>1</x:v>
      </x:c>
      <x:c r="E67" s="9" t="str">
        <x:v>apps/api/tests/SmartLibrary.UnitTests/Features/Rag/RealCatalogTopicTests.cs:89</x:v>
      </x:c>
      <x:c r="F67" s="9" t="str">
        <x:v>LOC/KLOC target not agreed; no fabricated density metric.</x:v>
      </x:c>
    </x:row>
    <x:row r="68" ht="60" customHeight="1">
      <x:c r="A68" s="9" t="str">
        <x:v>F064</x:v>
      </x:c>
      <x:c r="B68" s="9" t="str">
        <x:v>RealCatalogTopicTests</x:v>
      </x:c>
      <x:c r="C68" s="9" t="str">
        <x:v>ExactTitle</x:v>
      </x:c>
      <x:c r="D68" s="9" t="n">
        <x:v>1</x:v>
      </x:c>
      <x:c r="E68" s="9" t="str">
        <x:v>apps/api/tests/SmartLibrary.UnitTests/Features/Rag/RealCatalogTopicTests.cs:95</x:v>
      </x:c>
      <x:c r="F68" s="9" t="str">
        <x:v>LOC/KLOC target not agreed; no fabricated density metric.</x:v>
      </x:c>
    </x:row>
    <x:row r="69" ht="60" customHeight="1">
      <x:c r="A69" s="9" t="str">
        <x:v>F065</x:v>
      </x:c>
      <x:c r="B69" s="9" t="str">
        <x:v>RealCatalogTopicTests</x:v>
      </x:c>
      <x:c r="C69" s="9" t="str">
        <x:v>FiveBooks</x:v>
      </x:c>
      <x:c r="D69" s="9" t="n">
        <x:v>2</x:v>
      </x:c>
      <x:c r="E69" s="9" t="str">
        <x:v>apps/api/tests/SmartLibrary.UnitTests/Features/Rag/RealCatalogTopicTests.cs:194</x:v>
      </x:c>
      <x:c r="F69" s="9" t="str">
        <x:v>LOC/KLOC target not agreed; no fabricated density metric.</x:v>
      </x:c>
    </x:row>
    <x:row r="70" ht="60" customHeight="1">
      <x:c r="A70" s="9" t="str">
        <x:v>F066</x:v>
      </x:c>
      <x:c r="B70" s="9" t="str">
        <x:v>RealCatalogTopicTests</x:v>
      </x:c>
      <x:c r="C70" s="9" t="str">
        <x:v>HardwareAndDiscreteMathProse</x:v>
      </x:c>
      <x:c r="D70" s="9" t="n">
        <x:v>1</x:v>
      </x:c>
      <x:c r="E70" s="9" t="str">
        <x:v>apps/api/tests/SmartLibrary.UnitTests/Features/Rag/RealCatalogTopicTests.cs:127</x:v>
      </x:c>
      <x:c r="F70" s="9" t="str">
        <x:v>LOC/KLOC target not agreed; no fabricated density metric.</x:v>
      </x:c>
    </x:row>
    <x:row r="71" ht="60" customHeight="1">
      <x:c r="A71" s="9" t="str">
        <x:v>F067</x:v>
      </x:c>
      <x:c r="B71" s="9" t="str">
        <x:v>RealCatalogTopicTests</x:v>
      </x:c>
      <x:c r="C71" s="9" t="str">
        <x:v>JapaneseQueries</x:v>
      </x:c>
      <x:c r="D71" s="9" t="n">
        <x:v>4</x:v>
      </x:c>
      <x:c r="E71" s="9" t="str">
        <x:v>apps/api/tests/SmartLibrary.UnitTests/Features/Rag/RealCatalogTopicTests.cs:31</x:v>
      </x:c>
      <x:c r="F71" s="9" t="str">
        <x:v>LOC/KLOC target not agreed; no fabricated density metric.</x:v>
      </x:c>
    </x:row>
    <x:row r="72" ht="60" customHeight="1">
      <x:c r="A72" s="9" t="str">
        <x:v>F068</x:v>
      </x:c>
      <x:c r="B72" s="9" t="str">
        <x:v>RealCatalogTopicTests</x:v>
      </x:c>
      <x:c r="C72" s="9" t="str">
        <x:v>KoreanLanguageLearningQuery</x:v>
      </x:c>
      <x:c r="D72" s="9" t="n">
        <x:v>1</x:v>
      </x:c>
      <x:c r="E72" s="9" t="str">
        <x:v>apps/api/tests/SmartLibrary.UnitTests/Features/Rag/RealCatalogTopicTests.cs:60</x:v>
      </x:c>
      <x:c r="F72" s="9" t="str">
        <x:v>LOC/KLOC target not agreed; no fabricated density metric.</x:v>
      </x:c>
    </x:row>
    <x:row r="73" ht="60" customHeight="1">
      <x:c r="A73" s="9" t="str">
        <x:v>F069</x:v>
      </x:c>
      <x:c r="B73" s="9" t="str">
        <x:v>RealCatalogTopicTests</x:v>
      </x:c>
      <x:c r="C73" s="9" t="str">
        <x:v>LongDiscreteMathDescription</x:v>
      </x:c>
      <x:c r="D73" s="9" t="n">
        <x:v>1</x:v>
      </x:c>
      <x:c r="E73" s="9" t="str">
        <x:v>apps/api/tests/SmartLibrary.UnitTests/Features/Rag/RealCatalogTopicTests.cs:174</x:v>
      </x:c>
      <x:c r="F73" s="9" t="str">
        <x:v>LOC/KLOC target not agreed; no fabricated density metric.</x:v>
      </x:c>
    </x:row>
    <x:row r="74" ht="60" customHeight="1">
      <x:c r="A74" s="9" t="str">
        <x:v>F070</x:v>
      </x:c>
      <x:c r="B74" s="9" t="str">
        <x:v>RealCatalogTopicTests</x:v>
      </x:c>
      <x:c r="C74" s="9" t="str">
        <x:v>MissingBook</x:v>
      </x:c>
      <x:c r="D74" s="9" t="n">
        <x:v>1</x:v>
      </x:c>
      <x:c r="E74" s="9" t="str">
        <x:v>apps/api/tests/SmartLibrary.UnitTests/Features/Rag/RealCatalogTopicTests.cs:83</x:v>
      </x:c>
      <x:c r="F74" s="9" t="str">
        <x:v>LOC/KLOC target not agreed; no fabricated density metric.</x:v>
      </x:c>
    </x:row>
    <x:row r="75" ht="60" customHeight="1">
      <x:c r="A75" s="9" t="str">
        <x:v>F071</x:v>
      </x:c>
      <x:c r="B75" s="9" t="str">
        <x:v>RealCatalogTopicTests</x:v>
      </x:c>
      <x:c r="C75" s="9" t="str">
        <x:v>NguyenNhatAnh</x:v>
      </x:c>
      <x:c r="D75" s="9" t="n">
        <x:v>1</x:v>
      </x:c>
      <x:c r="E75" s="9" t="str">
        <x:v>apps/api/tests/SmartLibrary.UnitTests/Features/Rag/RealCatalogTopicTests.cs:226</x:v>
      </x:c>
      <x:c r="F75" s="9" t="str">
        <x:v>LOC/KLOC target not agreed; no fabricated density metric.</x:v>
      </x:c>
    </x:row>
    <x:row r="76" ht="60" customHeight="1">
      <x:c r="A76" s="9" t="str">
        <x:v>F072</x:v>
      </x:c>
      <x:c r="B76" s="9" t="str">
        <x:v>RealCatalogTopicTests</x:v>
      </x:c>
      <x:c r="C76" s="9" t="str">
        <x:v>PythonAdvanced</x:v>
      </x:c>
      <x:c r="D76" s="9" t="n">
        <x:v>1</x:v>
      </x:c>
      <x:c r="E76" s="9" t="str">
        <x:v>apps/api/tests/SmartLibrary.UnitTests/Features/Rag/RealCatalogTopicTests.cs:38</x:v>
      </x:c>
      <x:c r="F76" s="9" t="str">
        <x:v>LOC/KLOC target not agreed; no fabricated density metric.</x:v>
      </x:c>
    </x:row>
    <x:row r="77" ht="60" customHeight="1">
      <x:c r="A77" s="9" t="str">
        <x:v>F073</x:v>
      </x:c>
      <x:c r="B77" s="9" t="str">
        <x:v>RealCatalogTopicTests</x:v>
      </x:c>
      <x:c r="C77" s="9" t="str">
        <x:v>RepeatedSach</x:v>
      </x:c>
      <x:c r="D77" s="9" t="n">
        <x:v>1</x:v>
      </x:c>
      <x:c r="E77" s="9" t="str">
        <x:v>apps/api/tests/SmartLibrary.UnitTests/Features/Rag/RealCatalogTopicTests.cs:218</x:v>
      </x:c>
      <x:c r="F77" s="9" t="str">
        <x:v>LOC/KLOC target not agreed; no fabricated density metric.</x:v>
      </x:c>
    </x:row>
    <x:row r="78" ht="60" customHeight="1">
      <x:c r="A78" s="9" t="str">
        <x:v>F074</x:v>
      </x:c>
      <x:c r="B78" s="9" t="str">
        <x:v>RealCatalogTopicTests</x:v>
      </x:c>
      <x:c r="C78" s="9" t="str">
        <x:v>VagueLanguageQuery</x:v>
      </x:c>
      <x:c r="D78" s="9" t="n">
        <x:v>1</x:v>
      </x:c>
      <x:c r="E78" s="9" t="str">
        <x:v>apps/api/tests/SmartLibrary.UnitTests/Features/Rag/RealCatalogTopicTests.cs:101</x:v>
      </x:c>
      <x:c r="F78" s="9" t="str">
        <x:v>LOC/KLOC target not agreed; no fabricated density metric.</x:v>
      </x:c>
    </x:row>
    <x:row r="79" ht="60" customHeight="1">
      <x:c r="A79" s="9" t="str">
        <x:v>F075</x:v>
      </x:c>
      <x:c r="B79" s="9" t="str">
        <x:v>SearchTopicGuardTests</x:v>
      </x:c>
      <x:c r="C79" s="9" t="str">
        <x:v>BookSearchIntent</x:v>
      </x:c>
      <x:c r="D79" s="9" t="n">
        <x:v>1</x:v>
      </x:c>
      <x:c r="E79" s="9" t="str">
        <x:v>apps/api/tests/SmartLibrary.UnitTests/Features/Rag/SearchTopicGuardTests.cs:145</x:v>
      </x:c>
      <x:c r="F79" s="9" t="str">
        <x:v>LOC/KLOC target not agreed; no fabricated density metric.</x:v>
      </x:c>
    </x:row>
    <x:row r="80" ht="60" customHeight="1">
      <x:c r="A80" s="9" t="str">
        <x:v>F076</x:v>
      </x:c>
      <x:c r="B80" s="9" t="str">
        <x:v>SearchTopicGuardTests</x:v>
      </x:c>
      <x:c r="C80" s="9" t="str">
        <x:v>CSharpQuery</x:v>
      </x:c>
      <x:c r="D80" s="9" t="n">
        <x:v>1</x:v>
      </x:c>
      <x:c r="E80" s="9" t="str">
        <x:v>apps/api/tests/SmartLibrary.UnitTests/Features/Rag/SearchTopicGuardTests.cs:41</x:v>
      </x:c>
      <x:c r="F80" s="9" t="str">
        <x:v>LOC/KLOC target not agreed; no fabricated density metric.</x:v>
      </x:c>
    </x:row>
    <x:row r="81" ht="60" customHeight="1">
      <x:c r="A81" s="9" t="str">
        <x:v>F077</x:v>
      </x:c>
      <x:c r="B81" s="9" t="str">
        <x:v>SearchTopicGuardTests</x:v>
      </x:c>
      <x:c r="C81" s="9" t="str">
        <x:v>CompoundPythonAndCleanCode</x:v>
      </x:c>
      <x:c r="D81" s="9" t="n">
        <x:v>1</x:v>
      </x:c>
      <x:c r="E81" s="9" t="str">
        <x:v>apps/api/tests/SmartLibrary.UnitTests/Features/Rag/SearchTopicGuardTests.cs:270</x:v>
      </x:c>
      <x:c r="F81" s="9" t="str">
        <x:v>LOC/KLOC target not agreed; no fabricated density metric.</x:v>
      </x:c>
    </x:row>
    <x:row r="82" ht="60" customHeight="1">
      <x:c r="A82" s="9" t="str">
        <x:v>F078</x:v>
      </x:c>
      <x:c r="B82" s="9" t="str">
        <x:v>SearchTopicGuardTests</x:v>
      </x:c>
      <x:c r="C82" s="9" t="str">
        <x:v>CompoundQuery</x:v>
      </x:c>
      <x:c r="D82" s="9" t="n">
        <x:v>1</x:v>
      </x:c>
      <x:c r="E82" s="9" t="str">
        <x:v>apps/api/tests/SmartLibrary.UnitTests/Features/Rag/SearchTopicGuardTests.cs:169</x:v>
      </x:c>
      <x:c r="F82" s="9" t="str">
        <x:v>LOC/KLOC target not agreed; no fabricated density metric.</x:v>
      </x:c>
    </x:row>
    <x:row r="83" ht="60" customHeight="1">
      <x:c r="A83" s="9" t="str">
        <x:v>F079</x:v>
      </x:c>
      <x:c r="B83" s="9" t="str">
        <x:v>SearchTopicGuardTests</x:v>
      </x:c>
      <x:c r="C83" s="9" t="str">
        <x:v>DiscreteMathIntent</x:v>
      </x:c>
      <x:c r="D83" s="9" t="n">
        <x:v>1</x:v>
      </x:c>
      <x:c r="E83" s="9" t="str">
        <x:v>apps/api/tests/SmartLibrary.UnitTests/Features/Rag/SearchTopicGuardTests.cs:206</x:v>
      </x:c>
      <x:c r="F83" s="9" t="str">
        <x:v>LOC/KLOC target not agreed; no fabricated density metric.</x:v>
      </x:c>
    </x:row>
    <x:row r="84" ht="60" customHeight="1">
      <x:c r="A84" s="9" t="str">
        <x:v>F080</x:v>
      </x:c>
      <x:c r="B84" s="9" t="str">
        <x:v>SearchTopicGuardTests</x:v>
      </x:c>
      <x:c r="C84" s="9" t="str">
        <x:v>EnglishLanguageLearningQuery</x:v>
      </x:c>
      <x:c r="D84" s="9" t="n">
        <x:v>1</x:v>
      </x:c>
      <x:c r="E84" s="9" t="str">
        <x:v>apps/api/tests/SmartLibrary.UnitTests/Features/Rag/SearchTopicGuardTests.cs:83</x:v>
      </x:c>
      <x:c r="F84" s="9" t="str">
        <x:v>LOC/KLOC target not agreed; no fabricated density metric.</x:v>
      </x:c>
    </x:row>
    <x:row r="85" ht="60" customHeight="1">
      <x:c r="A85" s="9" t="str">
        <x:v>F081</x:v>
      </x:c>
      <x:c r="B85" s="9" t="str">
        <x:v>SearchTopicGuardTests</x:v>
      </x:c>
      <x:c r="C85" s="9" t="str">
        <x:v>ForeignLanguageCategory</x:v>
      </x:c>
      <x:c r="D85" s="9" t="n">
        <x:v>1</x:v>
      </x:c>
      <x:c r="E85" s="9" t="str">
        <x:v>apps/api/tests/SmartLibrary.UnitTests/Features/Rag/SearchTopicGuardTests.cs:153</x:v>
      </x:c>
      <x:c r="F85" s="9" t="str">
        <x:v>LOC/KLOC target not agreed; no fabricated density metric.</x:v>
      </x:c>
    </x:row>
    <x:row r="86" ht="60" customHeight="1">
      <x:c r="A86" s="9" t="str">
        <x:v>F082</x:v>
      </x:c>
      <x:c r="B86" s="9" t="str">
        <x:v>SearchTopicGuardTests</x:v>
      </x:c>
      <x:c r="C86" s="9" t="str">
        <x:v>JapaneseEsp</x:v>
      </x:c>
      <x:c r="D86" s="9" t="n">
        <x:v>1</x:v>
      </x:c>
      <x:c r="E86" s="9" t="str">
        <x:v>apps/api/tests/SmartLibrary.UnitTests/Features/Rag/SearchTopicGuardTests.cs:9</x:v>
      </x:c>
      <x:c r="F86" s="9" t="str">
        <x:v>LOC/KLOC target not agreed; no fabricated density metric.</x:v>
      </x:c>
    </x:row>
    <x:row r="87" ht="60" customHeight="1">
      <x:c r="A87" s="9" t="str">
        <x:v>F083</x:v>
      </x:c>
      <x:c r="B87" s="9" t="str">
        <x:v>SearchTopicGuardTests</x:v>
      </x:c>
      <x:c r="C87" s="9" t="str">
        <x:v>JapaneseIt</x:v>
      </x:c>
      <x:c r="D87" s="9" t="n">
        <x:v>1</x:v>
      </x:c>
      <x:c r="E87" s="9" t="str">
        <x:v>apps/api/tests/SmartLibrary.UnitTests/Features/Rag/SearchTopicGuardTests.cs:21</x:v>
      </x:c>
      <x:c r="F87" s="9" t="str">
        <x:v>LOC/KLOC target not agreed; no fabricated density metric.</x:v>
      </x:c>
    </x:row>
    <x:row r="88" ht="60" customHeight="1">
      <x:c r="A88" s="9" t="str">
        <x:v>F084</x:v>
      </x:c>
      <x:c r="B88" s="9" t="str">
        <x:v>SearchTopicGuardTests</x:v>
      </x:c>
      <x:c r="C88" s="9" t="str">
        <x:v>KoreanLanguageLearningQuery</x:v>
      </x:c>
      <x:c r="D88" s="9" t="n">
        <x:v>1</x:v>
      </x:c>
      <x:c r="E88" s="9" t="str">
        <x:v>apps/api/tests/SmartLibrary.UnitTests/Features/Rag/SearchTopicGuardTests.cs:114</x:v>
      </x:c>
      <x:c r="F88" s="9" t="str">
        <x:v>LOC/KLOC target not agreed; no fabricated density metric.</x:v>
      </x:c>
    </x:row>
    <x:row r="89" ht="60" customHeight="1">
      <x:c r="A89" s="9" t="str">
        <x:v>F085</x:v>
      </x:c>
      <x:c r="B89" s="9" t="str">
        <x:v>SearchTopicGuardTests</x:v>
      </x:c>
      <x:c r="C89" s="9" t="str">
        <x:v>LanguageLearningWithoutLanguage</x:v>
      </x:c>
      <x:c r="D89" s="9" t="n">
        <x:v>1</x:v>
      </x:c>
      <x:c r="E89" s="9" t="str">
        <x:v>apps/api/tests/SmartLibrary.UnitTests/Features/Rag/SearchTopicGuardTests.cs:75</x:v>
      </x:c>
      <x:c r="F89" s="9" t="str">
        <x:v>LOC/KLOC target not agreed; no fabricated density metric.</x:v>
      </x:c>
    </x:row>
    <x:row r="90" ht="60" customHeight="1">
      <x:c r="A90" s="9" t="str">
        <x:v>F086</x:v>
      </x:c>
      <x:c r="B90" s="9" t="str">
        <x:v>SearchTopicGuardTests</x:v>
      </x:c>
      <x:c r="C90" s="9" t="str">
        <x:v>LiteratureCategory</x:v>
      </x:c>
      <x:c r="D90" s="9" t="n">
        <x:v>1</x:v>
      </x:c>
      <x:c r="E90" s="9" t="str">
        <x:v>apps/api/tests/SmartLibrary.UnitTests/Features/Rag/SearchTopicGuardTests.cs:243</x:v>
      </x:c>
      <x:c r="F90" s="9" t="str">
        <x:v>LOC/KLOC target not agreed; no fabricated density metric.</x:v>
      </x:c>
    </x:row>
    <x:row r="91" ht="60" customHeight="1">
      <x:c r="A91" s="9" t="str">
        <x:v>F087</x:v>
      </x:c>
      <x:c r="B91" s="9" t="str">
        <x:v>SearchTopicGuardTests</x:v>
      </x:c>
      <x:c r="C91" s="9" t="str">
        <x:v>MatchLabel</x:v>
      </x:c>
      <x:c r="D91" s="9" t="n">
        <x:v>1</x:v>
      </x:c>
      <x:c r="E91" s="9" t="str">
        <x:v>apps/api/tests/SmartLibrary.UnitTests/Features/Rag/SearchTopicGuardTests.cs:68</x:v>
      </x:c>
      <x:c r="F91" s="9" t="str">
        <x:v>LOC/KLOC target not agreed; no fabricated density metric.</x:v>
      </x:c>
    </x:row>
    <x:row r="92" ht="60" customHeight="1">
      <x:c r="A92" s="9" t="str">
        <x:v>F088</x:v>
      </x:c>
      <x:c r="B92" s="9" t="str">
        <x:v>SearchTopicGuardTests</x:v>
      </x:c>
      <x:c r="C92" s="9" t="str">
        <x:v>PythonQuery</x:v>
      </x:c>
      <x:c r="D92" s="9" t="n">
        <x:v>1</x:v>
      </x:c>
      <x:c r="E92" s="9" t="str">
        <x:v>apps/api/tests/SmartLibrary.UnitTests/Features/Rag/SearchTopicGuardTests.cs:31</x:v>
      </x:c>
      <x:c r="F92" s="9" t="str">
        <x:v>LOC/KLOC target not agreed; no fabricated density metric.</x:v>
      </x:c>
    </x:row>
    <x:row r="93" ht="60" customHeight="1">
      <x:c r="A93" s="9" t="str">
        <x:v>F089</x:v>
      </x:c>
      <x:c r="B93" s="9" t="str">
        <x:v>ReportWorkflowContractTests</x:v>
      </x:c>
      <x:c r="C93" s="9" t="str">
        <x:v>CreateReportPayload</x:v>
      </x:c>
      <x:c r="D93" s="9" t="n">
        <x:v>1</x:v>
      </x:c>
      <x:c r="E93" s="9" t="str">
        <x:v>apps/api/tests/SmartLibrary.UnitTests/Features/Reports/ReportWorkflowContractTests.cs:47</x:v>
      </x:c>
      <x:c r="F93" s="9" t="str">
        <x:v>LOC/KLOC target not agreed; no fabricated density metric.</x:v>
      </x:c>
    </x:row>
    <x:row r="94" ht="60" customHeight="1">
      <x:c r="A94" s="9" t="str">
        <x:v>F090</x:v>
      </x:c>
      <x:c r="B94" s="9" t="str">
        <x:v>ReportWorkflowContractTests</x:v>
      </x:c>
      <x:c r="C94" s="9" t="str">
        <x:v>NewReportRequest</x:v>
      </x:c>
      <x:c r="D94" s="9" t="n">
        <x:v>1</x:v>
      </x:c>
      <x:c r="E94" s="9" t="str">
        <x:v>apps/api/tests/SmartLibrary.UnitTests/Features/Reports/ReportWorkflowContractTests.cs:59</x:v>
      </x:c>
      <x:c r="F94" s="9" t="str">
        <x:v>LOC/KLOC target not agreed; no fabricated density metric.</x:v>
      </x:c>
    </x:row>
    <x:row r="95" ht="60" customHeight="1">
      <x:c r="A95" s="9" t="str">
        <x:v>F091</x:v>
      </x:c>
      <x:c r="B95" s="9" t="str">
        <x:v>ReportWorkflowContractTests</x:v>
      </x:c>
      <x:c r="C95" s="9" t="str">
        <x:v>RejectionPayload</x:v>
      </x:c>
      <x:c r="D95" s="9" t="n">
        <x:v>1</x:v>
      </x:c>
      <x:c r="E95" s="9" t="str">
        <x:v>apps/api/tests/SmartLibrary.UnitTests/Features/Reports/ReportWorkflowContractTests.cs:35</x:v>
      </x:c>
      <x:c r="F95" s="9" t="str">
        <x:v>LOC/KLOC target not agreed; no fabricated density metric.</x:v>
      </x:c>
    </x:row>
    <x:row r="96" ht="60" customHeight="1">
      <x:c r="A96" s="9" t="str">
        <x:v>F092</x:v>
      </x:c>
      <x:c r="B96" s="9" t="str">
        <x:v>ReportWorkflowContractTests</x:v>
      </x:c>
      <x:c r="C96" s="9" t="str">
        <x:v>ReportImportSchema</x:v>
      </x:c>
      <x:c r="D96" s="9" t="n">
        <x:v>1</x:v>
      </x:c>
      <x:c r="E96" s="9" t="str">
        <x:v>apps/api/tests/SmartLibrary.UnitTests/Features/Reports/ReportWorkflowContractTests.cs:65</x:v>
      </x:c>
      <x:c r="F96" s="9" t="str">
        <x:v>LOC/KLOC target not agreed; no fabricated density metric.</x:v>
      </x:c>
    </x:row>
    <x:row r="97" ht="60" customHeight="1">
      <x:c r="A97" s="9" t="str">
        <x:v>F093</x:v>
      </x:c>
      <x:c r="B97" s="9" t="str">
        <x:v>ReportWorkflowContractTests</x:v>
      </x:c>
      <x:c r="C97" s="9" t="str">
        <x:v>ReportRequestDto</x:v>
      </x:c>
      <x:c r="D97" s="9" t="n">
        <x:v>1</x:v>
      </x:c>
      <x:c r="E97" s="9" t="str">
        <x:v>apps/api/tests/SmartLibrary.UnitTests/Features/Reports/ReportWorkflowContractTests.cs:13</x:v>
      </x:c>
      <x:c r="F97" s="9" t="str">
        <x:v>LOC/KLOC target not agreed; no fabricated density metric.</x:v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1" t="str">
        <x:v>Statistics</x:v>
      </x:c>
    </x:row>
    <x:row r="4" ht="32" customHeight="1">
      <x:c r="A4" s="5" t="str">
        <x:v>Function</x:v>
      </x:c>
      <x:c r="B4" s="5" t="str">
        <x:v>Passed</x:v>
      </x:c>
      <x:c r="C4" s="5" t="str">
        <x:v>Failed</x:v>
      </x:c>
      <x:c r="D4" s="5" t="str">
        <x:v>Not Tested</x:v>
      </x:c>
      <x:c r="E4" s="5" t="str">
        <x:v>Total</x:v>
      </x:c>
    </x:row>
    <x:row r="5" ht="60" customHeight="1">
      <x:c r="A5" s="9" t="str">
        <x:v>F001</x:v>
      </x:c>
      <x:c r="B5" s="9" t="n">
        <x:f>'F001'!A7</x:f>
        <x:v>3</x:v>
      </x:c>
      <x:c r="C5" s="9" t="n">
        <x:f>'F001'!B7</x:f>
        <x:v>0</x:v>
      </x:c>
      <x:c r="D5" s="9" t="n">
        <x:f>'F001'!C7</x:f>
        <x:v>0</x:v>
      </x:c>
      <x:c r="E5" s="9" t="n">
        <x:f>'F001'!D7</x:f>
        <x:v>3</x:v>
      </x:c>
    </x:row>
    <x:row r="6" ht="60" customHeight="1">
      <x:c r="A6" s="9" t="str">
        <x:v>F002</x:v>
      </x:c>
      <x:c r="B6" s="9" t="n">
        <x:f>'F002'!A7</x:f>
        <x:v>2</x:v>
      </x:c>
      <x:c r="C6" s="9" t="n">
        <x:f>'F002'!B7</x:f>
        <x:v>0</x:v>
      </x:c>
      <x:c r="D6" s="9" t="n">
        <x:f>'F002'!C7</x:f>
        <x:v>0</x:v>
      </x:c>
      <x:c r="E6" s="9" t="n">
        <x:f>'F002'!D7</x:f>
        <x:v>2</x:v>
      </x:c>
    </x:row>
    <x:row r="7" ht="60" customHeight="1">
      <x:c r="A7" s="9" t="str">
        <x:v>F003</x:v>
      </x:c>
      <x:c r="B7" s="9" t="n">
        <x:f>'F003'!A7</x:f>
        <x:v>5</x:v>
      </x:c>
      <x:c r="C7" s="9" t="n">
        <x:f>'F003'!B7</x:f>
        <x:v>0</x:v>
      </x:c>
      <x:c r="D7" s="9" t="n">
        <x:f>'F003'!C7</x:f>
        <x:v>0</x:v>
      </x:c>
      <x:c r="E7" s="9" t="n">
        <x:f>'F003'!D7</x:f>
        <x:v>5</x:v>
      </x:c>
    </x:row>
    <x:row r="8" ht="60" customHeight="1">
      <x:c r="A8" s="9" t="str">
        <x:v>F004</x:v>
      </x:c>
      <x:c r="B8" s="9" t="n">
        <x:f>'F004'!A7</x:f>
        <x:v>1</x:v>
      </x:c>
      <x:c r="C8" s="9" t="n">
        <x:f>'F004'!B7</x:f>
        <x:v>0</x:v>
      </x:c>
      <x:c r="D8" s="9" t="n">
        <x:f>'F004'!C7</x:f>
        <x:v>0</x:v>
      </x:c>
      <x:c r="E8" s="9" t="n">
        <x:f>'F004'!D7</x:f>
        <x:v>1</x:v>
      </x:c>
    </x:row>
    <x:row r="9" ht="60" customHeight="1">
      <x:c r="A9" s="9" t="str">
        <x:v>F005</x:v>
      </x:c>
      <x:c r="B9" s="9" t="n">
        <x:f>'F005'!A7</x:f>
        <x:v>3</x:v>
      </x:c>
      <x:c r="C9" s="9" t="n">
        <x:f>'F005'!B7</x:f>
        <x:v>0</x:v>
      </x:c>
      <x:c r="D9" s="9" t="n">
        <x:f>'F005'!C7</x:f>
        <x:v>0</x:v>
      </x:c>
      <x:c r="E9" s="9" t="n">
        <x:f>'F005'!D7</x:f>
        <x:v>3</x:v>
      </x:c>
    </x:row>
    <x:row r="10" ht="60" customHeight="1">
      <x:c r="A10" s="9" t="str">
        <x:v>F006</x:v>
      </x:c>
      <x:c r="B10" s="9" t="n">
        <x:f>'F006'!A7</x:f>
        <x:v>2</x:v>
      </x:c>
      <x:c r="C10" s="9" t="n">
        <x:f>'F006'!B7</x:f>
        <x:v>0</x:v>
      </x:c>
      <x:c r="D10" s="9" t="n">
        <x:f>'F006'!C7</x:f>
        <x:v>0</x:v>
      </x:c>
      <x:c r="E10" s="9" t="n">
        <x:f>'F006'!D7</x:f>
        <x:v>2</x:v>
      </x:c>
    </x:row>
    <x:row r="11" ht="60" customHeight="1">
      <x:c r="A11" s="9" t="str">
        <x:v>F007</x:v>
      </x:c>
      <x:c r="B11" s="9" t="n">
        <x:f>'F007'!A7</x:f>
        <x:v>5</x:v>
      </x:c>
      <x:c r="C11" s="9" t="n">
        <x:f>'F007'!B7</x:f>
        <x:v>0</x:v>
      </x:c>
      <x:c r="D11" s="9" t="n">
        <x:f>'F007'!C7</x:f>
        <x:v>0</x:v>
      </x:c>
      <x:c r="E11" s="9" t="n">
        <x:f>'F007'!D7</x:f>
        <x:v>5</x:v>
      </x:c>
    </x:row>
    <x:row r="12" ht="60" customHeight="1">
      <x:c r="A12" s="9" t="str">
        <x:v>F008</x:v>
      </x:c>
      <x:c r="B12" s="9" t="n">
        <x:f>'F008'!A7</x:f>
        <x:v>1</x:v>
      </x:c>
      <x:c r="C12" s="9" t="n">
        <x:f>'F008'!B7</x:f>
        <x:v>0</x:v>
      </x:c>
      <x:c r="D12" s="9" t="n">
        <x:f>'F008'!C7</x:f>
        <x:v>0</x:v>
      </x:c>
      <x:c r="E12" s="9" t="n">
        <x:f>'F008'!D7</x:f>
        <x:v>1</x:v>
      </x:c>
    </x:row>
    <x:row r="13" ht="60" customHeight="1">
      <x:c r="A13" s="9" t="str">
        <x:v>F009</x:v>
      </x:c>
      <x:c r="B13" s="9" t="n">
        <x:f>'F009'!A7</x:f>
        <x:v>4</x:v>
      </x:c>
      <x:c r="C13" s="9" t="n">
        <x:f>'F009'!B7</x:f>
        <x:v>0</x:v>
      </x:c>
      <x:c r="D13" s="9" t="n">
        <x:f>'F009'!C7</x:f>
        <x:v>0</x:v>
      </x:c>
      <x:c r="E13" s="9" t="n">
        <x:f>'F009'!D7</x:f>
        <x:v>4</x:v>
      </x:c>
    </x:row>
    <x:row r="14" ht="60" customHeight="1">
      <x:c r="A14" s="9" t="str">
        <x:v>F010</x:v>
      </x:c>
      <x:c r="B14" s="9" t="n">
        <x:f>'F010'!A7</x:f>
        <x:v>4</x:v>
      </x:c>
      <x:c r="C14" s="9" t="n">
        <x:f>'F010'!B7</x:f>
        <x:v>0</x:v>
      </x:c>
      <x:c r="D14" s="9" t="n">
        <x:f>'F010'!C7</x:f>
        <x:v>0</x:v>
      </x:c>
      <x:c r="E14" s="9" t="n">
        <x:f>'F010'!D7</x:f>
        <x:v>4</x:v>
      </x:c>
    </x:row>
    <x:row r="15" ht="60" customHeight="1">
      <x:c r="A15" s="9" t="str">
        <x:v>F011</x:v>
      </x:c>
      <x:c r="B15" s="9" t="n">
        <x:f>'F011'!A7</x:f>
        <x:v>1</x:v>
      </x:c>
      <x:c r="C15" s="9" t="n">
        <x:f>'F011'!B7</x:f>
        <x:v>0</x:v>
      </x:c>
      <x:c r="D15" s="9" t="n">
        <x:f>'F011'!C7</x:f>
        <x:v>0</x:v>
      </x:c>
      <x:c r="E15" s="9" t="n">
        <x:f>'F011'!D7</x:f>
        <x:v>1</x:v>
      </x:c>
    </x:row>
    <x:row r="16" ht="60" customHeight="1">
      <x:c r="A16" s="9" t="str">
        <x:v>F012</x:v>
      </x:c>
      <x:c r="B16" s="9" t="n">
        <x:f>'F012'!A7</x:f>
        <x:v>3</x:v>
      </x:c>
      <x:c r="C16" s="9" t="n">
        <x:f>'F012'!B7</x:f>
        <x:v>0</x:v>
      </x:c>
      <x:c r="D16" s="9" t="n">
        <x:f>'F012'!C7</x:f>
        <x:v>0</x:v>
      </x:c>
      <x:c r="E16" s="9" t="n">
        <x:f>'F012'!D7</x:f>
        <x:v>3</x:v>
      </x:c>
    </x:row>
    <x:row r="17" ht="60" customHeight="1">
      <x:c r="A17" s="9" t="str">
        <x:v>F013</x:v>
      </x:c>
      <x:c r="B17" s="9" t="n">
        <x:f>'F013'!A7</x:f>
        <x:v>1</x:v>
      </x:c>
      <x:c r="C17" s="9" t="n">
        <x:f>'F013'!B7</x:f>
        <x:v>0</x:v>
      </x:c>
      <x:c r="D17" s="9" t="n">
        <x:f>'F013'!C7</x:f>
        <x:v>0</x:v>
      </x:c>
      <x:c r="E17" s="9" t="n">
        <x:f>'F013'!D7</x:f>
        <x:v>1</x:v>
      </x:c>
    </x:row>
    <x:row r="18" ht="60" customHeight="1">
      <x:c r="A18" s="9" t="str">
        <x:v>F014</x:v>
      </x:c>
      <x:c r="B18" s="9" t="n">
        <x:f>'F014'!A7</x:f>
        <x:v>1</x:v>
      </x:c>
      <x:c r="C18" s="9" t="n">
        <x:f>'F014'!B7</x:f>
        <x:v>0</x:v>
      </x:c>
      <x:c r="D18" s="9" t="n">
        <x:f>'F014'!C7</x:f>
        <x:v>0</x:v>
      </x:c>
      <x:c r="E18" s="9" t="n">
        <x:f>'F014'!D7</x:f>
        <x:v>1</x:v>
      </x:c>
    </x:row>
    <x:row r="19" ht="60" customHeight="1">
      <x:c r="A19" s="9" t="str">
        <x:v>F015</x:v>
      </x:c>
      <x:c r="B19" s="9" t="n">
        <x:f>'F015'!A7</x:f>
        <x:v>2</x:v>
      </x:c>
      <x:c r="C19" s="9" t="n">
        <x:f>'F015'!B7</x:f>
        <x:v>0</x:v>
      </x:c>
      <x:c r="D19" s="9" t="n">
        <x:f>'F015'!C7</x:f>
        <x:v>0</x:v>
      </x:c>
      <x:c r="E19" s="9" t="n">
        <x:f>'F015'!D7</x:f>
        <x:v>2</x:v>
      </x:c>
    </x:row>
    <x:row r="20" ht="60" customHeight="1">
      <x:c r="A20" s="9" t="str">
        <x:v>F016</x:v>
      </x:c>
      <x:c r="B20" s="9" t="n">
        <x:f>'F016'!A7</x:f>
        <x:v>2</x:v>
      </x:c>
      <x:c r="C20" s="9" t="n">
        <x:f>'F016'!B7</x:f>
        <x:v>0</x:v>
      </x:c>
      <x:c r="D20" s="9" t="n">
        <x:f>'F016'!C7</x:f>
        <x:v>0</x:v>
      </x:c>
      <x:c r="E20" s="9" t="n">
        <x:f>'F016'!D7</x:f>
        <x:v>2</x:v>
      </x:c>
    </x:row>
    <x:row r="21" ht="60" customHeight="1">
      <x:c r="A21" s="9" t="str">
        <x:v>F017</x:v>
      </x:c>
      <x:c r="B21" s="9" t="n">
        <x:f>'F017'!A7</x:f>
        <x:v>5</x:v>
      </x:c>
      <x:c r="C21" s="9" t="n">
        <x:f>'F017'!B7</x:f>
        <x:v>0</x:v>
      </x:c>
      <x:c r="D21" s="9" t="n">
        <x:f>'F017'!C7</x:f>
        <x:v>0</x:v>
      </x:c>
      <x:c r="E21" s="9" t="n">
        <x:f>'F017'!D7</x:f>
        <x:v>5</x:v>
      </x:c>
    </x:row>
    <x:row r="22" ht="60" customHeight="1">
      <x:c r="A22" s="9" t="str">
        <x:v>F018</x:v>
      </x:c>
      <x:c r="B22" s="9" t="n">
        <x:f>'F018'!A7</x:f>
        <x:v>1</x:v>
      </x:c>
      <x:c r="C22" s="9" t="n">
        <x:f>'F018'!B7</x:f>
        <x:v>0</x:v>
      </x:c>
      <x:c r="D22" s="9" t="n">
        <x:f>'F018'!C7</x:f>
        <x:v>0</x:v>
      </x:c>
      <x:c r="E22" s="9" t="n">
        <x:f>'F018'!D7</x:f>
        <x:v>1</x:v>
      </x:c>
    </x:row>
    <x:row r="23" ht="60" customHeight="1">
      <x:c r="A23" s="9" t="str">
        <x:v>F019</x:v>
      </x:c>
      <x:c r="B23" s="9" t="n">
        <x:f>'F019'!A7</x:f>
        <x:v>1</x:v>
      </x:c>
      <x:c r="C23" s="9" t="n">
        <x:f>'F019'!B7</x:f>
        <x:v>0</x:v>
      </x:c>
      <x:c r="D23" s="9" t="n">
        <x:f>'F019'!C7</x:f>
        <x:v>0</x:v>
      </x:c>
      <x:c r="E23" s="9" t="n">
        <x:f>'F019'!D7</x:f>
        <x:v>1</x:v>
      </x:c>
    </x:row>
    <x:row r="24" ht="60" customHeight="1">
      <x:c r="A24" s="9" t="str">
        <x:v>F020</x:v>
      </x:c>
      <x:c r="B24" s="9" t="n">
        <x:f>'F020'!A7</x:f>
        <x:v>1</x:v>
      </x:c>
      <x:c r="C24" s="9" t="n">
        <x:f>'F020'!B7</x:f>
        <x:v>0</x:v>
      </x:c>
      <x:c r="D24" s="9" t="n">
        <x:f>'F020'!C7</x:f>
        <x:v>0</x:v>
      </x:c>
      <x:c r="E24" s="9" t="n">
        <x:f>'F020'!D7</x:f>
        <x:v>1</x:v>
      </x:c>
    </x:row>
    <x:row r="25" ht="60" customHeight="1">
      <x:c r="A25" s="9" t="str">
        <x:v>F021</x:v>
      </x:c>
      <x:c r="B25" s="9" t="n">
        <x:f>'F021'!A7</x:f>
        <x:v>1</x:v>
      </x:c>
      <x:c r="C25" s="9" t="n">
        <x:f>'F021'!B7</x:f>
        <x:v>0</x:v>
      </x:c>
      <x:c r="D25" s="9" t="n">
        <x:f>'F021'!C7</x:f>
        <x:v>0</x:v>
      </x:c>
      <x:c r="E25" s="9" t="n">
        <x:f>'F021'!D7</x:f>
        <x:v>1</x:v>
      </x:c>
    </x:row>
    <x:row r="26" ht="60" customHeight="1">
      <x:c r="A26" s="9" t="str">
        <x:v>F022</x:v>
      </x:c>
      <x:c r="B26" s="9" t="n">
        <x:f>'F022'!A7</x:f>
        <x:v>1</x:v>
      </x:c>
      <x:c r="C26" s="9" t="n">
        <x:f>'F022'!B7</x:f>
        <x:v>0</x:v>
      </x:c>
      <x:c r="D26" s="9" t="n">
        <x:f>'F022'!C7</x:f>
        <x:v>0</x:v>
      </x:c>
      <x:c r="E26" s="9" t="n">
        <x:f>'F022'!D7</x:f>
        <x:v>1</x:v>
      </x:c>
    </x:row>
    <x:row r="27" ht="60" customHeight="1">
      <x:c r="A27" s="9" t="str">
        <x:v>F023</x:v>
      </x:c>
      <x:c r="B27" s="9" t="n">
        <x:f>'F023'!A7</x:f>
        <x:v>1</x:v>
      </x:c>
      <x:c r="C27" s="9" t="n">
        <x:f>'F023'!B7</x:f>
        <x:v>0</x:v>
      </x:c>
      <x:c r="D27" s="9" t="n">
        <x:f>'F023'!C7</x:f>
        <x:v>0</x:v>
      </x:c>
      <x:c r="E27" s="9" t="n">
        <x:f>'F023'!D7</x:f>
        <x:v>1</x:v>
      </x:c>
    </x:row>
    <x:row r="28" ht="60" customHeight="1">
      <x:c r="A28" s="9" t="str">
        <x:v>F024</x:v>
      </x:c>
      <x:c r="B28" s="9" t="n">
        <x:f>'F024'!A7</x:f>
        <x:v>2</x:v>
      </x:c>
      <x:c r="C28" s="9" t="n">
        <x:f>'F024'!B7</x:f>
        <x:v>0</x:v>
      </x:c>
      <x:c r="D28" s="9" t="n">
        <x:f>'F024'!C7</x:f>
        <x:v>0</x:v>
      </x:c>
      <x:c r="E28" s="9" t="n">
        <x:f>'F024'!D7</x:f>
        <x:v>2</x:v>
      </x:c>
    </x:row>
    <x:row r="29" ht="60" customHeight="1">
      <x:c r="A29" s="9" t="str">
        <x:v>F025</x:v>
      </x:c>
      <x:c r="B29" s="9" t="n">
        <x:f>'F025'!A7</x:f>
        <x:v>1</x:v>
      </x:c>
      <x:c r="C29" s="9" t="n">
        <x:f>'F025'!B7</x:f>
        <x:v>0</x:v>
      </x:c>
      <x:c r="D29" s="9" t="n">
        <x:f>'F025'!C7</x:f>
        <x:v>0</x:v>
      </x:c>
      <x:c r="E29" s="9" t="n">
        <x:f>'F025'!D7</x:f>
        <x:v>1</x:v>
      </x:c>
    </x:row>
    <x:row r="30" ht="60" customHeight="1">
      <x:c r="A30" s="9" t="str">
        <x:v>F026</x:v>
      </x:c>
      <x:c r="B30" s="9" t="n">
        <x:f>'F026'!A7</x:f>
        <x:v>2</x:v>
      </x:c>
      <x:c r="C30" s="9" t="n">
        <x:f>'F026'!B7</x:f>
        <x:v>0</x:v>
      </x:c>
      <x:c r="D30" s="9" t="n">
        <x:f>'F026'!C7</x:f>
        <x:v>0</x:v>
      </x:c>
      <x:c r="E30" s="9" t="n">
        <x:f>'F026'!D7</x:f>
        <x:v>2</x:v>
      </x:c>
    </x:row>
    <x:row r="31" ht="60" customHeight="1">
      <x:c r="A31" s="9" t="str">
        <x:v>F027</x:v>
      </x:c>
      <x:c r="B31" s="9" t="n">
        <x:f>'F027'!A7</x:f>
        <x:v>4</x:v>
      </x:c>
      <x:c r="C31" s="9" t="n">
        <x:f>'F027'!B7</x:f>
        <x:v>0</x:v>
      </x:c>
      <x:c r="D31" s="9" t="n">
        <x:f>'F027'!C7</x:f>
        <x:v>0</x:v>
      </x:c>
      <x:c r="E31" s="9" t="n">
        <x:f>'F027'!D7</x:f>
        <x:v>4</x:v>
      </x:c>
    </x:row>
    <x:row r="32" ht="60" customHeight="1">
      <x:c r="A32" s="9" t="str">
        <x:v>F028</x:v>
      </x:c>
      <x:c r="B32" s="9" t="n">
        <x:f>'F028'!A7</x:f>
        <x:v>8</x:v>
      </x:c>
      <x:c r="C32" s="9" t="n">
        <x:f>'F028'!B7</x:f>
        <x:v>0</x:v>
      </x:c>
      <x:c r="D32" s="9" t="n">
        <x:f>'F028'!C7</x:f>
        <x:v>0</x:v>
      </x:c>
      <x:c r="E32" s="9" t="n">
        <x:f>'F028'!D7</x:f>
        <x:v>8</x:v>
      </x:c>
    </x:row>
    <x:row r="33" ht="60" customHeight="1">
      <x:c r="A33" s="9" t="str">
        <x:v>F029</x:v>
      </x:c>
      <x:c r="B33" s="9" t="n">
        <x:f>'F029'!A7</x:f>
        <x:v>6</x:v>
      </x:c>
      <x:c r="C33" s="9" t="n">
        <x:f>'F029'!B7</x:f>
        <x:v>0</x:v>
      </x:c>
      <x:c r="D33" s="9" t="n">
        <x:f>'F029'!C7</x:f>
        <x:v>0</x:v>
      </x:c>
      <x:c r="E33" s="9" t="n">
        <x:f>'F029'!D7</x:f>
        <x:v>6</x:v>
      </x:c>
    </x:row>
    <x:row r="34" ht="60" customHeight="1">
      <x:c r="A34" s="9" t="str">
        <x:v>F030</x:v>
      </x:c>
      <x:c r="B34" s="9" t="n">
        <x:f>'F030'!A7</x:f>
        <x:v>3</x:v>
      </x:c>
      <x:c r="C34" s="9" t="n">
        <x:f>'F030'!B7</x:f>
        <x:v>0</x:v>
      </x:c>
      <x:c r="D34" s="9" t="n">
        <x:f>'F030'!C7</x:f>
        <x:v>0</x:v>
      </x:c>
      <x:c r="E34" s="9" t="n">
        <x:f>'F030'!D7</x:f>
        <x:v>3</x:v>
      </x:c>
    </x:row>
    <x:row r="35" ht="60" customHeight="1">
      <x:c r="A35" s="9" t="str">
        <x:v>F031</x:v>
      </x:c>
      <x:c r="B35" s="9" t="n">
        <x:f>'F031'!A7</x:f>
        <x:v>6</x:v>
      </x:c>
      <x:c r="C35" s="9" t="n">
        <x:f>'F031'!B7</x:f>
        <x:v>0</x:v>
      </x:c>
      <x:c r="D35" s="9" t="n">
        <x:f>'F031'!C7</x:f>
        <x:v>0</x:v>
      </x:c>
      <x:c r="E35" s="9" t="n">
        <x:f>'F031'!D7</x:f>
        <x:v>6</x:v>
      </x:c>
    </x:row>
    <x:row r="36" ht="60" customHeight="1">
      <x:c r="A36" s="9" t="str">
        <x:v>F032</x:v>
      </x:c>
      <x:c r="B36" s="9" t="n">
        <x:f>'F032'!A7</x:f>
        <x:v>1</x:v>
      </x:c>
      <x:c r="C36" s="9" t="n">
        <x:f>'F032'!B7</x:f>
        <x:v>0</x:v>
      </x:c>
      <x:c r="D36" s="9" t="n">
        <x:f>'F032'!C7</x:f>
        <x:v>0</x:v>
      </x:c>
      <x:c r="E36" s="9" t="n">
        <x:f>'F032'!D7</x:f>
        <x:v>1</x:v>
      </x:c>
    </x:row>
    <x:row r="37" ht="60" customHeight="1">
      <x:c r="A37" s="9" t="str">
        <x:v>F033</x:v>
      </x:c>
      <x:c r="B37" s="9" t="n">
        <x:f>'F033'!A7</x:f>
        <x:v>2</x:v>
      </x:c>
      <x:c r="C37" s="9" t="n">
        <x:f>'F033'!B7</x:f>
        <x:v>0</x:v>
      </x:c>
      <x:c r="D37" s="9" t="n">
        <x:f>'F033'!C7</x:f>
        <x:v>0</x:v>
      </x:c>
      <x:c r="E37" s="9" t="n">
        <x:f>'F033'!D7</x:f>
        <x:v>2</x:v>
      </x:c>
    </x:row>
    <x:row r="38" ht="60" customHeight="1">
      <x:c r="A38" s="9" t="str">
        <x:v>F034</x:v>
      </x:c>
      <x:c r="B38" s="9" t="n">
        <x:f>'F034'!A7</x:f>
        <x:v>1</x:v>
      </x:c>
      <x:c r="C38" s="9" t="n">
        <x:f>'F034'!B7</x:f>
        <x:v>0</x:v>
      </x:c>
      <x:c r="D38" s="9" t="n">
        <x:f>'F034'!C7</x:f>
        <x:v>0</x:v>
      </x:c>
      <x:c r="E38" s="9" t="n">
        <x:f>'F034'!D7</x:f>
        <x:v>1</x:v>
      </x:c>
    </x:row>
    <x:row r="39" ht="60" customHeight="1">
      <x:c r="A39" s="9" t="str">
        <x:v>F035</x:v>
      </x:c>
      <x:c r="B39" s="9" t="n">
        <x:f>'F035'!A7</x:f>
        <x:v>1</x:v>
      </x:c>
      <x:c r="C39" s="9" t="n">
        <x:f>'F035'!B7</x:f>
        <x:v>0</x:v>
      </x:c>
      <x:c r="D39" s="9" t="n">
        <x:f>'F035'!C7</x:f>
        <x:v>0</x:v>
      </x:c>
      <x:c r="E39" s="9" t="n">
        <x:f>'F035'!D7</x:f>
        <x:v>1</x:v>
      </x:c>
    </x:row>
    <x:row r="40" ht="60" customHeight="1">
      <x:c r="A40" s="9" t="str">
        <x:v>F036</x:v>
      </x:c>
      <x:c r="B40" s="9" t="n">
        <x:f>'F036'!A7</x:f>
        <x:v>1</x:v>
      </x:c>
      <x:c r="C40" s="9" t="n">
        <x:f>'F036'!B7</x:f>
        <x:v>0</x:v>
      </x:c>
      <x:c r="D40" s="9" t="n">
        <x:f>'F036'!C7</x:f>
        <x:v>0</x:v>
      </x:c>
      <x:c r="E40" s="9" t="n">
        <x:f>'F036'!D7</x:f>
        <x:v>1</x:v>
      </x:c>
    </x:row>
    <x:row r="41" ht="60" customHeight="1">
      <x:c r="A41" s="9" t="str">
        <x:v>F037</x:v>
      </x:c>
      <x:c r="B41" s="9" t="n">
        <x:f>'F037'!A7</x:f>
        <x:v>1</x:v>
      </x:c>
      <x:c r="C41" s="9" t="n">
        <x:f>'F037'!B7</x:f>
        <x:v>0</x:v>
      </x:c>
      <x:c r="D41" s="9" t="n">
        <x:f>'F037'!C7</x:f>
        <x:v>0</x:v>
      </x:c>
      <x:c r="E41" s="9" t="n">
        <x:f>'F037'!D7</x:f>
        <x:v>1</x:v>
      </x:c>
    </x:row>
    <x:row r="42" ht="60" customHeight="1">
      <x:c r="A42" s="9" t="str">
        <x:v>F038</x:v>
      </x:c>
      <x:c r="B42" s="9" t="n">
        <x:f>'F038'!A7</x:f>
        <x:v>1</x:v>
      </x:c>
      <x:c r="C42" s="9" t="n">
        <x:f>'F038'!B7</x:f>
        <x:v>0</x:v>
      </x:c>
      <x:c r="D42" s="9" t="n">
        <x:f>'F038'!C7</x:f>
        <x:v>0</x:v>
      </x:c>
      <x:c r="E42" s="9" t="n">
        <x:f>'F038'!D7</x:f>
        <x:v>1</x:v>
      </x:c>
    </x:row>
    <x:row r="43" ht="60" customHeight="1">
      <x:c r="A43" s="9" t="str">
        <x:v>F039</x:v>
      </x:c>
      <x:c r="B43" s="9" t="n">
        <x:f>'F039'!A7</x:f>
        <x:v>2</x:v>
      </x:c>
      <x:c r="C43" s="9" t="n">
        <x:f>'F039'!B7</x:f>
        <x:v>0</x:v>
      </x:c>
      <x:c r="D43" s="9" t="n">
        <x:f>'F039'!C7</x:f>
        <x:v>0</x:v>
      </x:c>
      <x:c r="E43" s="9" t="n">
        <x:f>'F039'!D7</x:f>
        <x:v>2</x:v>
      </x:c>
    </x:row>
    <x:row r="44" ht="60" customHeight="1">
      <x:c r="A44" s="9" t="str">
        <x:v>F040</x:v>
      </x:c>
      <x:c r="B44" s="9" t="n">
        <x:f>'F040'!A7</x:f>
        <x:v>1</x:v>
      </x:c>
      <x:c r="C44" s="9" t="n">
        <x:f>'F040'!B7</x:f>
        <x:v>0</x:v>
      </x:c>
      <x:c r="D44" s="9" t="n">
        <x:f>'F040'!C7</x:f>
        <x:v>0</x:v>
      </x:c>
      <x:c r="E44" s="9" t="n">
        <x:f>'F040'!D7</x:f>
        <x:v>1</x:v>
      </x:c>
    </x:row>
    <x:row r="45" ht="60" customHeight="1">
      <x:c r="A45" s="9" t="str">
        <x:v>F041</x:v>
      </x:c>
      <x:c r="B45" s="9" t="n">
        <x:f>'F041'!A7</x:f>
        <x:v>2</x:v>
      </x:c>
      <x:c r="C45" s="9" t="n">
        <x:f>'F041'!B7</x:f>
        <x:v>0</x:v>
      </x:c>
      <x:c r="D45" s="9" t="n">
        <x:f>'F041'!C7</x:f>
        <x:v>0</x:v>
      </x:c>
      <x:c r="E45" s="9" t="n">
        <x:f>'F041'!D7</x:f>
        <x:v>2</x:v>
      </x:c>
    </x:row>
    <x:row r="46" ht="60" customHeight="1">
      <x:c r="A46" s="9" t="str">
        <x:v>F042</x:v>
      </x:c>
      <x:c r="B46" s="9" t="n">
        <x:f>'F042'!A7</x:f>
        <x:v>4</x:v>
      </x:c>
      <x:c r="C46" s="9" t="n">
        <x:f>'F042'!B7</x:f>
        <x:v>0</x:v>
      </x:c>
      <x:c r="D46" s="9" t="n">
        <x:f>'F042'!C7</x:f>
        <x:v>0</x:v>
      </x:c>
      <x:c r="E46" s="9" t="n">
        <x:f>'F042'!D7</x:f>
        <x:v>4</x:v>
      </x:c>
    </x:row>
    <x:row r="47" ht="60" customHeight="1">
      <x:c r="A47" s="9" t="str">
        <x:v>F043</x:v>
      </x:c>
      <x:c r="B47" s="9" t="n">
        <x:f>'F043'!A7</x:f>
        <x:v>1</x:v>
      </x:c>
      <x:c r="C47" s="9" t="n">
        <x:f>'F043'!B7</x:f>
        <x:v>0</x:v>
      </x:c>
      <x:c r="D47" s="9" t="n">
        <x:f>'F043'!C7</x:f>
        <x:v>0</x:v>
      </x:c>
      <x:c r="E47" s="9" t="n">
        <x:f>'F043'!D7</x:f>
        <x:v>1</x:v>
      </x:c>
    </x:row>
    <x:row r="48" ht="60" customHeight="1">
      <x:c r="A48" s="9" t="str">
        <x:v>F044</x:v>
      </x:c>
      <x:c r="B48" s="9" t="n">
        <x:f>'F044'!A7</x:f>
        <x:v>3</x:v>
      </x:c>
      <x:c r="C48" s="9" t="n">
        <x:f>'F044'!B7</x:f>
        <x:v>0</x:v>
      </x:c>
      <x:c r="D48" s="9" t="n">
        <x:f>'F044'!C7</x:f>
        <x:v>0</x:v>
      </x:c>
      <x:c r="E48" s="9" t="n">
        <x:f>'F044'!D7</x:f>
        <x:v>3</x:v>
      </x:c>
    </x:row>
    <x:row r="49" ht="60" customHeight="1">
      <x:c r="A49" s="9" t="str">
        <x:v>F045</x:v>
      </x:c>
      <x:c r="B49" s="9" t="n">
        <x:f>'F045'!A7</x:f>
        <x:v>6</x:v>
      </x:c>
      <x:c r="C49" s="9" t="n">
        <x:f>'F045'!B7</x:f>
        <x:v>0</x:v>
      </x:c>
      <x:c r="D49" s="9" t="n">
        <x:f>'F045'!C7</x:f>
        <x:v>0</x:v>
      </x:c>
      <x:c r="E49" s="9" t="n">
        <x:f>'F045'!D7</x:f>
        <x:v>6</x:v>
      </x:c>
    </x:row>
    <x:row r="50" ht="60" customHeight="1">
      <x:c r="A50" s="9" t="str">
        <x:v>F046</x:v>
      </x:c>
      <x:c r="B50" s="9" t="n">
        <x:f>'F046'!A7</x:f>
        <x:v>1</x:v>
      </x:c>
      <x:c r="C50" s="9" t="n">
        <x:f>'F046'!B7</x:f>
        <x:v>0</x:v>
      </x:c>
      <x:c r="D50" s="9" t="n">
        <x:f>'F046'!C7</x:f>
        <x:v>0</x:v>
      </x:c>
      <x:c r="E50" s="9" t="n">
        <x:f>'F046'!D7</x:f>
        <x:v>1</x:v>
      </x:c>
    </x:row>
    <x:row r="51" ht="60" customHeight="1">
      <x:c r="A51" s="9" t="str">
        <x:v>F047</x:v>
      </x:c>
      <x:c r="B51" s="9" t="n">
        <x:f>'F047'!A7</x:f>
        <x:v>3</x:v>
      </x:c>
      <x:c r="C51" s="9" t="n">
        <x:f>'F047'!B7</x:f>
        <x:v>0</x:v>
      </x:c>
      <x:c r="D51" s="9" t="n">
        <x:f>'F047'!C7</x:f>
        <x:v>0</x:v>
      </x:c>
      <x:c r="E51" s="9" t="n">
        <x:f>'F047'!D7</x:f>
        <x:v>3</x:v>
      </x:c>
    </x:row>
    <x:row r="52" ht="60" customHeight="1">
      <x:c r="A52" s="9" t="str">
        <x:v>F048</x:v>
      </x:c>
      <x:c r="B52" s="9" t="n">
        <x:f>'F048'!A7</x:f>
        <x:v>5</x:v>
      </x:c>
      <x:c r="C52" s="9" t="n">
        <x:f>'F048'!B7</x:f>
        <x:v>0</x:v>
      </x:c>
      <x:c r="D52" s="9" t="n">
        <x:f>'F048'!C7</x:f>
        <x:v>0</x:v>
      </x:c>
      <x:c r="E52" s="9" t="n">
        <x:f>'F048'!D7</x:f>
        <x:v>5</x:v>
      </x:c>
    </x:row>
    <x:row r="53" ht="60" customHeight="1">
      <x:c r="A53" s="9" t="str">
        <x:v>F049</x:v>
      </x:c>
      <x:c r="B53" s="9" t="n">
        <x:f>'F049'!A7</x:f>
        <x:v>4</x:v>
      </x:c>
      <x:c r="C53" s="9" t="n">
        <x:f>'F049'!B7</x:f>
        <x:v>0</x:v>
      </x:c>
      <x:c r="D53" s="9" t="n">
        <x:f>'F049'!C7</x:f>
        <x:v>0</x:v>
      </x:c>
      <x:c r="E53" s="9" t="n">
        <x:f>'F049'!D7</x:f>
        <x:v>4</x:v>
      </x:c>
    </x:row>
    <x:row r="54" ht="60" customHeight="1">
      <x:c r="A54" s="9" t="str">
        <x:v>F050</x:v>
      </x:c>
      <x:c r="B54" s="9" t="n">
        <x:f>'F050'!A7</x:f>
        <x:v>2</x:v>
      </x:c>
      <x:c r="C54" s="9" t="n">
        <x:f>'F050'!B7</x:f>
        <x:v>0</x:v>
      </x:c>
      <x:c r="D54" s="9" t="n">
        <x:f>'F050'!C7</x:f>
        <x:v>0</x:v>
      </x:c>
      <x:c r="E54" s="9" t="n">
        <x:f>'F050'!D7</x:f>
        <x:v>2</x:v>
      </x:c>
    </x:row>
    <x:row r="55" ht="60" customHeight="1">
      <x:c r="A55" s="9" t="str">
        <x:v>F051</x:v>
      </x:c>
      <x:c r="B55" s="9" t="n">
        <x:f>'F051'!A7</x:f>
        <x:v>6</x:v>
      </x:c>
      <x:c r="C55" s="9" t="n">
        <x:f>'F051'!B7</x:f>
        <x:v>0</x:v>
      </x:c>
      <x:c r="D55" s="9" t="n">
        <x:f>'F051'!C7</x:f>
        <x:v>0</x:v>
      </x:c>
      <x:c r="E55" s="9" t="n">
        <x:f>'F051'!D7</x:f>
        <x:v>6</x:v>
      </x:c>
    </x:row>
    <x:row r="56" ht="60" customHeight="1">
      <x:c r="A56" s="9" t="str">
        <x:v>F052</x:v>
      </x:c>
      <x:c r="B56" s="9" t="n">
        <x:f>'F052'!A7</x:f>
        <x:v>1</x:v>
      </x:c>
      <x:c r="C56" s="9" t="n">
        <x:f>'F052'!B7</x:f>
        <x:v>0</x:v>
      </x:c>
      <x:c r="D56" s="9" t="n">
        <x:f>'F052'!C7</x:f>
        <x:v>0</x:v>
      </x:c>
      <x:c r="E56" s="9" t="n">
        <x:f>'F052'!D7</x:f>
        <x:v>1</x:v>
      </x:c>
    </x:row>
    <x:row r="57" ht="60" customHeight="1">
      <x:c r="A57" s="9" t="str">
        <x:v>F053</x:v>
      </x:c>
      <x:c r="B57" s="9" t="n">
        <x:f>'F053'!A7</x:f>
        <x:v>2</x:v>
      </x:c>
      <x:c r="C57" s="9" t="n">
        <x:f>'F053'!B7</x:f>
        <x:v>0</x:v>
      </x:c>
      <x:c r="D57" s="9" t="n">
        <x:f>'F053'!C7</x:f>
        <x:v>0</x:v>
      </x:c>
      <x:c r="E57" s="9" t="n">
        <x:f>'F053'!D7</x:f>
        <x:v>2</x:v>
      </x:c>
    </x:row>
    <x:row r="58" ht="60" customHeight="1">
      <x:c r="A58" s="9" t="str">
        <x:v>F054</x:v>
      </x:c>
      <x:c r="B58" s="9" t="n">
        <x:f>'F054'!A7</x:f>
        <x:v>1</x:v>
      </x:c>
      <x:c r="C58" s="9" t="n">
        <x:f>'F054'!B7</x:f>
        <x:v>0</x:v>
      </x:c>
      <x:c r="D58" s="9" t="n">
        <x:f>'F054'!C7</x:f>
        <x:v>0</x:v>
      </x:c>
      <x:c r="E58" s="9" t="n">
        <x:f>'F054'!D7</x:f>
        <x:v>1</x:v>
      </x:c>
    </x:row>
    <x:row r="59" ht="60" customHeight="1">
      <x:c r="A59" s="9" t="str">
        <x:v>F055</x:v>
      </x:c>
      <x:c r="B59" s="9" t="n">
        <x:f>'F055'!A7</x:f>
        <x:v>2</x:v>
      </x:c>
      <x:c r="C59" s="9" t="n">
        <x:f>'F055'!B7</x:f>
        <x:v>0</x:v>
      </x:c>
      <x:c r="D59" s="9" t="n">
        <x:f>'F055'!C7</x:f>
        <x:v>0</x:v>
      </x:c>
      <x:c r="E59" s="9" t="n">
        <x:f>'F055'!D7</x:f>
        <x:v>2</x:v>
      </x:c>
    </x:row>
    <x:row r="60" ht="60" customHeight="1">
      <x:c r="A60" s="9" t="str">
        <x:v>F056</x:v>
      </x:c>
      <x:c r="B60" s="9" t="n">
        <x:f>'F056'!A7</x:f>
        <x:v>25</x:v>
      </x:c>
      <x:c r="C60" s="9" t="n">
        <x:f>'F056'!B7</x:f>
        <x:v>0</x:v>
      </x:c>
      <x:c r="D60" s="9" t="n">
        <x:f>'F056'!C7</x:f>
        <x:v>0</x:v>
      </x:c>
      <x:c r="E60" s="9" t="n">
        <x:f>'F056'!D7</x:f>
        <x:v>25</x:v>
      </x:c>
    </x:row>
    <x:row r="61" ht="60" customHeight="1">
      <x:c r="A61" s="9" t="str">
        <x:v>F057</x:v>
      </x:c>
      <x:c r="B61" s="9" t="n">
        <x:f>'F057'!A7</x:f>
        <x:v>1</x:v>
      </x:c>
      <x:c r="C61" s="9" t="n">
        <x:f>'F057'!B7</x:f>
        <x:v>0</x:v>
      </x:c>
      <x:c r="D61" s="9" t="n">
        <x:f>'F057'!C7</x:f>
        <x:v>0</x:v>
      </x:c>
      <x:c r="E61" s="9" t="n">
        <x:f>'F057'!D7</x:f>
        <x:v>1</x:v>
      </x:c>
    </x:row>
    <x:row r="62" ht="60" customHeight="1">
      <x:c r="A62" s="9" t="str">
        <x:v>F058</x:v>
      </x:c>
      <x:c r="B62" s="9" t="n">
        <x:f>'F058'!A7</x:f>
        <x:v>1</x:v>
      </x:c>
      <x:c r="C62" s="9" t="n">
        <x:f>'F058'!B7</x:f>
        <x:v>0</x:v>
      </x:c>
      <x:c r="D62" s="9" t="n">
        <x:f>'F058'!C7</x:f>
        <x:v>0</x:v>
      </x:c>
      <x:c r="E62" s="9" t="n">
        <x:f>'F058'!D7</x:f>
        <x:v>1</x:v>
      </x:c>
    </x:row>
    <x:row r="63" ht="60" customHeight="1">
      <x:c r="A63" s="9" t="str">
        <x:v>F059</x:v>
      </x:c>
      <x:c r="B63" s="9" t="n">
        <x:f>'F059'!A7</x:f>
        <x:v>1</x:v>
      </x:c>
      <x:c r="C63" s="9" t="n">
        <x:f>'F059'!B7</x:f>
        <x:v>0</x:v>
      </x:c>
      <x:c r="D63" s="9" t="n">
        <x:f>'F059'!C7</x:f>
        <x:v>0</x:v>
      </x:c>
      <x:c r="E63" s="9" t="n">
        <x:f>'F059'!D7</x:f>
        <x:v>1</x:v>
      </x:c>
    </x:row>
    <x:row r="64" ht="60" customHeight="1">
      <x:c r="A64" s="9" t="str">
        <x:v>F060</x:v>
      </x:c>
      <x:c r="B64" s="9" t="n">
        <x:f>'F060'!A7</x:f>
        <x:v>1</x:v>
      </x:c>
      <x:c r="C64" s="9" t="n">
        <x:f>'F060'!B7</x:f>
        <x:v>0</x:v>
      </x:c>
      <x:c r="D64" s="9" t="n">
        <x:f>'F060'!C7</x:f>
        <x:v>0</x:v>
      </x:c>
      <x:c r="E64" s="9" t="n">
        <x:f>'F060'!D7</x:f>
        <x:v>1</x:v>
      </x:c>
    </x:row>
    <x:row r="65" ht="60" customHeight="1">
      <x:c r="A65" s="9" t="str">
        <x:v>F061</x:v>
      </x:c>
      <x:c r="B65" s="9" t="n">
        <x:f>'F061'!A7</x:f>
        <x:v>1</x:v>
      </x:c>
      <x:c r="C65" s="9" t="n">
        <x:f>'F061'!B7</x:f>
        <x:v>0</x:v>
      </x:c>
      <x:c r="D65" s="9" t="n">
        <x:f>'F061'!C7</x:f>
        <x:v>0</x:v>
      </x:c>
      <x:c r="E65" s="9" t="n">
        <x:f>'F061'!D7</x:f>
        <x:v>1</x:v>
      </x:c>
    </x:row>
    <x:row r="66" ht="60" customHeight="1">
      <x:c r="A66" s="9" t="str">
        <x:v>F062</x:v>
      </x:c>
      <x:c r="B66" s="9" t="n">
        <x:f>'F062'!A7</x:f>
        <x:v>1</x:v>
      </x:c>
      <x:c r="C66" s="9" t="n">
        <x:f>'F062'!B7</x:f>
        <x:v>0</x:v>
      </x:c>
      <x:c r="D66" s="9" t="n">
        <x:f>'F062'!C7</x:f>
        <x:v>0</x:v>
      </x:c>
      <x:c r="E66" s="9" t="n">
        <x:f>'F062'!D7</x:f>
        <x:v>1</x:v>
      </x:c>
    </x:row>
    <x:row r="67" ht="60" customHeight="1">
      <x:c r="A67" s="9" t="str">
        <x:v>F063</x:v>
      </x:c>
      <x:c r="B67" s="9" t="n">
        <x:f>'F063'!A7</x:f>
        <x:v>1</x:v>
      </x:c>
      <x:c r="C67" s="9" t="n">
        <x:f>'F063'!B7</x:f>
        <x:v>0</x:v>
      </x:c>
      <x:c r="D67" s="9" t="n">
        <x:f>'F063'!C7</x:f>
        <x:v>0</x:v>
      </x:c>
      <x:c r="E67" s="9" t="n">
        <x:f>'F063'!D7</x:f>
        <x:v>1</x:v>
      </x:c>
    </x:row>
    <x:row r="68" ht="60" customHeight="1">
      <x:c r="A68" s="9" t="str">
        <x:v>F064</x:v>
      </x:c>
      <x:c r="B68" s="9" t="n">
        <x:f>'F064'!A7</x:f>
        <x:v>1</x:v>
      </x:c>
      <x:c r="C68" s="9" t="n">
        <x:f>'F064'!B7</x:f>
        <x:v>0</x:v>
      </x:c>
      <x:c r="D68" s="9" t="n">
        <x:f>'F064'!C7</x:f>
        <x:v>0</x:v>
      </x:c>
      <x:c r="E68" s="9" t="n">
        <x:f>'F064'!D7</x:f>
        <x:v>1</x:v>
      </x:c>
    </x:row>
    <x:row r="69" ht="60" customHeight="1">
      <x:c r="A69" s="9" t="str">
        <x:v>F065</x:v>
      </x:c>
      <x:c r="B69" s="9" t="n">
        <x:f>'F065'!A7</x:f>
        <x:v>2</x:v>
      </x:c>
      <x:c r="C69" s="9" t="n">
        <x:f>'F065'!B7</x:f>
        <x:v>0</x:v>
      </x:c>
      <x:c r="D69" s="9" t="n">
        <x:f>'F065'!C7</x:f>
        <x:v>0</x:v>
      </x:c>
      <x:c r="E69" s="9" t="n">
        <x:f>'F065'!D7</x:f>
        <x:v>2</x:v>
      </x:c>
    </x:row>
    <x:row r="70" ht="60" customHeight="1">
      <x:c r="A70" s="9" t="str">
        <x:v>F066</x:v>
      </x:c>
      <x:c r="B70" s="9" t="n">
        <x:f>'F066'!A7</x:f>
        <x:v>1</x:v>
      </x:c>
      <x:c r="C70" s="9" t="n">
        <x:f>'F066'!B7</x:f>
        <x:v>0</x:v>
      </x:c>
      <x:c r="D70" s="9" t="n">
        <x:f>'F066'!C7</x:f>
        <x:v>0</x:v>
      </x:c>
      <x:c r="E70" s="9" t="n">
        <x:f>'F066'!D7</x:f>
        <x:v>1</x:v>
      </x:c>
    </x:row>
    <x:row r="71" ht="60" customHeight="1">
      <x:c r="A71" s="9" t="str">
        <x:v>F067</x:v>
      </x:c>
      <x:c r="B71" s="9" t="n">
        <x:f>'F067'!A7</x:f>
        <x:v>4</x:v>
      </x:c>
      <x:c r="C71" s="9" t="n">
        <x:f>'F067'!B7</x:f>
        <x:v>0</x:v>
      </x:c>
      <x:c r="D71" s="9" t="n">
        <x:f>'F067'!C7</x:f>
        <x:v>0</x:v>
      </x:c>
      <x:c r="E71" s="9" t="n">
        <x:f>'F067'!D7</x:f>
        <x:v>4</x:v>
      </x:c>
    </x:row>
    <x:row r="72" ht="60" customHeight="1">
      <x:c r="A72" s="9" t="str">
        <x:v>F068</x:v>
      </x:c>
      <x:c r="B72" s="9" t="n">
        <x:f>'F068'!A7</x:f>
        <x:v>1</x:v>
      </x:c>
      <x:c r="C72" s="9" t="n">
        <x:f>'F068'!B7</x:f>
        <x:v>0</x:v>
      </x:c>
      <x:c r="D72" s="9" t="n">
        <x:f>'F068'!C7</x:f>
        <x:v>0</x:v>
      </x:c>
      <x:c r="E72" s="9" t="n">
        <x:f>'F068'!D7</x:f>
        <x:v>1</x:v>
      </x:c>
    </x:row>
    <x:row r="73" ht="60" customHeight="1">
      <x:c r="A73" s="9" t="str">
        <x:v>F069</x:v>
      </x:c>
      <x:c r="B73" s="9" t="n">
        <x:f>'F069'!A7</x:f>
        <x:v>1</x:v>
      </x:c>
      <x:c r="C73" s="9" t="n">
        <x:f>'F069'!B7</x:f>
        <x:v>0</x:v>
      </x:c>
      <x:c r="D73" s="9" t="n">
        <x:f>'F069'!C7</x:f>
        <x:v>0</x:v>
      </x:c>
      <x:c r="E73" s="9" t="n">
        <x:f>'F069'!D7</x:f>
        <x:v>1</x:v>
      </x:c>
    </x:row>
    <x:row r="74" ht="60" customHeight="1">
      <x:c r="A74" s="9" t="str">
        <x:v>F070</x:v>
      </x:c>
      <x:c r="B74" s="9" t="n">
        <x:f>'F070'!A7</x:f>
        <x:v>1</x:v>
      </x:c>
      <x:c r="C74" s="9" t="n">
        <x:f>'F070'!B7</x:f>
        <x:v>0</x:v>
      </x:c>
      <x:c r="D74" s="9" t="n">
        <x:f>'F070'!C7</x:f>
        <x:v>0</x:v>
      </x:c>
      <x:c r="E74" s="9" t="n">
        <x:f>'F070'!D7</x:f>
        <x:v>1</x:v>
      </x:c>
    </x:row>
    <x:row r="75" ht="60" customHeight="1">
      <x:c r="A75" s="9" t="str">
        <x:v>F071</x:v>
      </x:c>
      <x:c r="B75" s="9" t="n">
        <x:f>'F071'!A7</x:f>
        <x:v>1</x:v>
      </x:c>
      <x:c r="C75" s="9" t="n">
        <x:f>'F071'!B7</x:f>
        <x:v>0</x:v>
      </x:c>
      <x:c r="D75" s="9" t="n">
        <x:f>'F071'!C7</x:f>
        <x:v>0</x:v>
      </x:c>
      <x:c r="E75" s="9" t="n">
        <x:f>'F071'!D7</x:f>
        <x:v>1</x:v>
      </x:c>
    </x:row>
    <x:row r="76" ht="60" customHeight="1">
      <x:c r="A76" s="9" t="str">
        <x:v>F072</x:v>
      </x:c>
      <x:c r="B76" s="9" t="n">
        <x:f>'F072'!A7</x:f>
        <x:v>1</x:v>
      </x:c>
      <x:c r="C76" s="9" t="n">
        <x:f>'F072'!B7</x:f>
        <x:v>0</x:v>
      </x:c>
      <x:c r="D76" s="9" t="n">
        <x:f>'F072'!C7</x:f>
        <x:v>0</x:v>
      </x:c>
      <x:c r="E76" s="9" t="n">
        <x:f>'F072'!D7</x:f>
        <x:v>1</x:v>
      </x:c>
    </x:row>
    <x:row r="77" ht="60" customHeight="1">
      <x:c r="A77" s="9" t="str">
        <x:v>F073</x:v>
      </x:c>
      <x:c r="B77" s="9" t="n">
        <x:f>'F073'!A7</x:f>
        <x:v>1</x:v>
      </x:c>
      <x:c r="C77" s="9" t="n">
        <x:f>'F073'!B7</x:f>
        <x:v>0</x:v>
      </x:c>
      <x:c r="D77" s="9" t="n">
        <x:f>'F073'!C7</x:f>
        <x:v>0</x:v>
      </x:c>
      <x:c r="E77" s="9" t="n">
        <x:f>'F073'!D7</x:f>
        <x:v>1</x:v>
      </x:c>
    </x:row>
    <x:row r="78" ht="60" customHeight="1">
      <x:c r="A78" s="9" t="str">
        <x:v>F074</x:v>
      </x:c>
      <x:c r="B78" s="9" t="n">
        <x:f>'F074'!A7</x:f>
        <x:v>1</x:v>
      </x:c>
      <x:c r="C78" s="9" t="n">
        <x:f>'F074'!B7</x:f>
        <x:v>0</x:v>
      </x:c>
      <x:c r="D78" s="9" t="n">
        <x:f>'F074'!C7</x:f>
        <x:v>0</x:v>
      </x:c>
      <x:c r="E78" s="9" t="n">
        <x:f>'F074'!D7</x:f>
        <x:v>1</x:v>
      </x:c>
    </x:row>
    <x:row r="79" ht="60" customHeight="1">
      <x:c r="A79" s="9" t="str">
        <x:v>F075</x:v>
      </x:c>
      <x:c r="B79" s="9" t="n">
        <x:f>'F075'!A7</x:f>
        <x:v>1</x:v>
      </x:c>
      <x:c r="C79" s="9" t="n">
        <x:f>'F075'!B7</x:f>
        <x:v>0</x:v>
      </x:c>
      <x:c r="D79" s="9" t="n">
        <x:f>'F075'!C7</x:f>
        <x:v>0</x:v>
      </x:c>
      <x:c r="E79" s="9" t="n">
        <x:f>'F075'!D7</x:f>
        <x:v>1</x:v>
      </x:c>
    </x:row>
    <x:row r="80" ht="60" customHeight="1">
      <x:c r="A80" s="9" t="str">
        <x:v>F076</x:v>
      </x:c>
      <x:c r="B80" s="9" t="n">
        <x:f>'F076'!A7</x:f>
        <x:v>1</x:v>
      </x:c>
      <x:c r="C80" s="9" t="n">
        <x:f>'F076'!B7</x:f>
        <x:v>0</x:v>
      </x:c>
      <x:c r="D80" s="9" t="n">
        <x:f>'F076'!C7</x:f>
        <x:v>0</x:v>
      </x:c>
      <x:c r="E80" s="9" t="n">
        <x:f>'F076'!D7</x:f>
        <x:v>1</x:v>
      </x:c>
    </x:row>
    <x:row r="81" ht="60" customHeight="1">
      <x:c r="A81" s="9" t="str">
        <x:v>F077</x:v>
      </x:c>
      <x:c r="B81" s="9" t="n">
        <x:f>'F077'!A7</x:f>
        <x:v>1</x:v>
      </x:c>
      <x:c r="C81" s="9" t="n">
        <x:f>'F077'!B7</x:f>
        <x:v>0</x:v>
      </x:c>
      <x:c r="D81" s="9" t="n">
        <x:f>'F077'!C7</x:f>
        <x:v>0</x:v>
      </x:c>
      <x:c r="E81" s="9" t="n">
        <x:f>'F077'!D7</x:f>
        <x:v>1</x:v>
      </x:c>
    </x:row>
    <x:row r="82" ht="60" customHeight="1">
      <x:c r="A82" s="9" t="str">
        <x:v>F078</x:v>
      </x:c>
      <x:c r="B82" s="9" t="n">
        <x:f>'F078'!A7</x:f>
        <x:v>1</x:v>
      </x:c>
      <x:c r="C82" s="9" t="n">
        <x:f>'F078'!B7</x:f>
        <x:v>0</x:v>
      </x:c>
      <x:c r="D82" s="9" t="n">
        <x:f>'F078'!C7</x:f>
        <x:v>0</x:v>
      </x:c>
      <x:c r="E82" s="9" t="n">
        <x:f>'F078'!D7</x:f>
        <x:v>1</x:v>
      </x:c>
    </x:row>
    <x:row r="83" ht="60" customHeight="1">
      <x:c r="A83" s="9" t="str">
        <x:v>F079</x:v>
      </x:c>
      <x:c r="B83" s="9" t="n">
        <x:f>'F079'!A7</x:f>
        <x:v>1</x:v>
      </x:c>
      <x:c r="C83" s="9" t="n">
        <x:f>'F079'!B7</x:f>
        <x:v>0</x:v>
      </x:c>
      <x:c r="D83" s="9" t="n">
        <x:f>'F079'!C7</x:f>
        <x:v>0</x:v>
      </x:c>
      <x:c r="E83" s="9" t="n">
        <x:f>'F079'!D7</x:f>
        <x:v>1</x:v>
      </x:c>
    </x:row>
    <x:row r="84" ht="60" customHeight="1">
      <x:c r="A84" s="9" t="str">
        <x:v>F080</x:v>
      </x:c>
      <x:c r="B84" s="9" t="n">
        <x:f>'F080'!A7</x:f>
        <x:v>1</x:v>
      </x:c>
      <x:c r="C84" s="9" t="n">
        <x:f>'F080'!B7</x:f>
        <x:v>0</x:v>
      </x:c>
      <x:c r="D84" s="9" t="n">
        <x:f>'F080'!C7</x:f>
        <x:v>0</x:v>
      </x:c>
      <x:c r="E84" s="9" t="n">
        <x:f>'F080'!D7</x:f>
        <x:v>1</x:v>
      </x:c>
    </x:row>
    <x:row r="85" ht="60" customHeight="1">
      <x:c r="A85" s="9" t="str">
        <x:v>F081</x:v>
      </x:c>
      <x:c r="B85" s="9" t="n">
        <x:f>'F081'!A7</x:f>
        <x:v>1</x:v>
      </x:c>
      <x:c r="C85" s="9" t="n">
        <x:f>'F081'!B7</x:f>
        <x:v>0</x:v>
      </x:c>
      <x:c r="D85" s="9" t="n">
        <x:f>'F081'!C7</x:f>
        <x:v>0</x:v>
      </x:c>
      <x:c r="E85" s="9" t="n">
        <x:f>'F081'!D7</x:f>
        <x:v>1</x:v>
      </x:c>
    </x:row>
    <x:row r="86" ht="60" customHeight="1">
      <x:c r="A86" s="9" t="str">
        <x:v>F082</x:v>
      </x:c>
      <x:c r="B86" s="9" t="n">
        <x:f>'F082'!A7</x:f>
        <x:v>1</x:v>
      </x:c>
      <x:c r="C86" s="9" t="n">
        <x:f>'F082'!B7</x:f>
        <x:v>0</x:v>
      </x:c>
      <x:c r="D86" s="9" t="n">
        <x:f>'F082'!C7</x:f>
        <x:v>0</x:v>
      </x:c>
      <x:c r="E86" s="9" t="n">
        <x:f>'F082'!D7</x:f>
        <x:v>1</x:v>
      </x:c>
    </x:row>
    <x:row r="87" ht="60" customHeight="1">
      <x:c r="A87" s="9" t="str">
        <x:v>F083</x:v>
      </x:c>
      <x:c r="B87" s="9" t="n">
        <x:f>'F083'!A7</x:f>
        <x:v>1</x:v>
      </x:c>
      <x:c r="C87" s="9" t="n">
        <x:f>'F083'!B7</x:f>
        <x:v>0</x:v>
      </x:c>
      <x:c r="D87" s="9" t="n">
        <x:f>'F083'!C7</x:f>
        <x:v>0</x:v>
      </x:c>
      <x:c r="E87" s="9" t="n">
        <x:f>'F083'!D7</x:f>
        <x:v>1</x:v>
      </x:c>
    </x:row>
    <x:row r="88" ht="60" customHeight="1">
      <x:c r="A88" s="9" t="str">
        <x:v>F084</x:v>
      </x:c>
      <x:c r="B88" s="9" t="n">
        <x:f>'F084'!A7</x:f>
        <x:v>1</x:v>
      </x:c>
      <x:c r="C88" s="9" t="n">
        <x:f>'F084'!B7</x:f>
        <x:v>0</x:v>
      </x:c>
      <x:c r="D88" s="9" t="n">
        <x:f>'F084'!C7</x:f>
        <x:v>0</x:v>
      </x:c>
      <x:c r="E88" s="9" t="n">
        <x:f>'F084'!D7</x:f>
        <x:v>1</x:v>
      </x:c>
    </x:row>
    <x:row r="89" ht="60" customHeight="1">
      <x:c r="A89" s="9" t="str">
        <x:v>F085</x:v>
      </x:c>
      <x:c r="B89" s="9" t="n">
        <x:f>'F085'!A7</x:f>
        <x:v>1</x:v>
      </x:c>
      <x:c r="C89" s="9" t="n">
        <x:f>'F085'!B7</x:f>
        <x:v>0</x:v>
      </x:c>
      <x:c r="D89" s="9" t="n">
        <x:f>'F085'!C7</x:f>
        <x:v>0</x:v>
      </x:c>
      <x:c r="E89" s="9" t="n">
        <x:f>'F085'!D7</x:f>
        <x:v>1</x:v>
      </x:c>
    </x:row>
    <x:row r="90" ht="60" customHeight="1">
      <x:c r="A90" s="9" t="str">
        <x:v>F086</x:v>
      </x:c>
      <x:c r="B90" s="9" t="n">
        <x:f>'F086'!A7</x:f>
        <x:v>1</x:v>
      </x:c>
      <x:c r="C90" s="9" t="n">
        <x:f>'F086'!B7</x:f>
        <x:v>0</x:v>
      </x:c>
      <x:c r="D90" s="9" t="n">
        <x:f>'F086'!C7</x:f>
        <x:v>0</x:v>
      </x:c>
      <x:c r="E90" s="9" t="n">
        <x:f>'F086'!D7</x:f>
        <x:v>1</x:v>
      </x:c>
    </x:row>
    <x:row r="91" ht="60" customHeight="1">
      <x:c r="A91" s="9" t="str">
        <x:v>F087</x:v>
      </x:c>
      <x:c r="B91" s="9" t="n">
        <x:f>'F087'!A7</x:f>
        <x:v>1</x:v>
      </x:c>
      <x:c r="C91" s="9" t="n">
        <x:f>'F087'!B7</x:f>
        <x:v>0</x:v>
      </x:c>
      <x:c r="D91" s="9" t="n">
        <x:f>'F087'!C7</x:f>
        <x:v>0</x:v>
      </x:c>
      <x:c r="E91" s="9" t="n">
        <x:f>'F087'!D7</x:f>
        <x:v>1</x:v>
      </x:c>
    </x:row>
    <x:row r="92" ht="60" customHeight="1">
      <x:c r="A92" s="9" t="str">
        <x:v>F088</x:v>
      </x:c>
      <x:c r="B92" s="9" t="n">
        <x:f>'F088'!A7</x:f>
        <x:v>1</x:v>
      </x:c>
      <x:c r="C92" s="9" t="n">
        <x:f>'F088'!B7</x:f>
        <x:v>0</x:v>
      </x:c>
      <x:c r="D92" s="9" t="n">
        <x:f>'F088'!C7</x:f>
        <x:v>0</x:v>
      </x:c>
      <x:c r="E92" s="9" t="n">
        <x:f>'F088'!D7</x:f>
        <x:v>1</x:v>
      </x:c>
    </x:row>
    <x:row r="93" ht="60" customHeight="1">
      <x:c r="A93" s="9" t="str">
        <x:v>F089</x:v>
      </x:c>
      <x:c r="B93" s="9" t="n">
        <x:f>'F089'!A7</x:f>
        <x:v>1</x:v>
      </x:c>
      <x:c r="C93" s="9" t="n">
        <x:f>'F089'!B7</x:f>
        <x:v>0</x:v>
      </x:c>
      <x:c r="D93" s="9" t="n">
        <x:f>'F089'!C7</x:f>
        <x:v>0</x:v>
      </x:c>
      <x:c r="E93" s="9" t="n">
        <x:f>'F089'!D7</x:f>
        <x:v>1</x:v>
      </x:c>
    </x:row>
    <x:row r="94" ht="60" customHeight="1">
      <x:c r="A94" s="9" t="str">
        <x:v>F090</x:v>
      </x:c>
      <x:c r="B94" s="9" t="n">
        <x:f>'F090'!A7</x:f>
        <x:v>1</x:v>
      </x:c>
      <x:c r="C94" s="9" t="n">
        <x:f>'F090'!B7</x:f>
        <x:v>0</x:v>
      </x:c>
      <x:c r="D94" s="9" t="n">
        <x:f>'F090'!C7</x:f>
        <x:v>0</x:v>
      </x:c>
      <x:c r="E94" s="9" t="n">
        <x:f>'F090'!D7</x:f>
        <x:v>1</x:v>
      </x:c>
    </x:row>
    <x:row r="95" ht="60" customHeight="1">
      <x:c r="A95" s="9" t="str">
        <x:v>F091</x:v>
      </x:c>
      <x:c r="B95" s="9" t="n">
        <x:f>'F091'!A7</x:f>
        <x:v>1</x:v>
      </x:c>
      <x:c r="C95" s="9" t="n">
        <x:f>'F091'!B7</x:f>
        <x:v>0</x:v>
      </x:c>
      <x:c r="D95" s="9" t="n">
        <x:f>'F091'!C7</x:f>
        <x:v>0</x:v>
      </x:c>
      <x:c r="E95" s="9" t="n">
        <x:f>'F091'!D7</x:f>
        <x:v>1</x:v>
      </x:c>
    </x:row>
    <x:row r="96" ht="60" customHeight="1">
      <x:c r="A96" s="9" t="str">
        <x:v>F092</x:v>
      </x:c>
      <x:c r="B96" s="9" t="n">
        <x:f>'F092'!A7</x:f>
        <x:v>1</x:v>
      </x:c>
      <x:c r="C96" s="9" t="n">
        <x:f>'F092'!B7</x:f>
        <x:v>0</x:v>
      </x:c>
      <x:c r="D96" s="9" t="n">
        <x:f>'F092'!C7</x:f>
        <x:v>0</x:v>
      </x:c>
      <x:c r="E96" s="9" t="n">
        <x:f>'F092'!D7</x:f>
        <x:v>1</x:v>
      </x:c>
    </x:row>
    <x:row r="97" ht="60" customHeight="1">
      <x:c r="A97" s="9" t="str">
        <x:v>F093</x:v>
      </x:c>
      <x:c r="B97" s="9" t="n">
        <x:f>'F093'!A7</x:f>
        <x:v>1</x:v>
      </x:c>
      <x:c r="C97" s="9" t="n">
        <x:f>'F093'!B7</x:f>
        <x:v>0</x:v>
      </x:c>
      <x:c r="D97" s="9" t="n">
        <x:f>'F093'!C7</x:f>
        <x:v>0</x:v>
      </x:c>
      <x:c r="E97" s="9" t="n">
        <x:f>'F093'!D7</x:f>
        <x:v>1</x:v>
      </x:c>
    </x:row>
    <x:row r="99">
      <x:c r="A99" t="str">
        <x:v>Total</x:v>
      </x:c>
      <x:c r="B99" t="n">
        <x:f>SUM(B5:B97)</x:f>
        <x:v>203</x:v>
      </x:c>
      <x:c r="C99" t="n">
        <x:f>SUM(C5:C97)</x:f>
        <x:v>0</x:v>
      </x:c>
      <x:c r="D99" t="n">
        <x:f>SUM(D5:D97)</x:f>
        <x:v>0</x:v>
      </x:c>
      <x:c r="E99" t="n">
        <x:f>SUM(E5:E97)</x:f>
        <x:v>203</x:v>
      </x:c>
    </x:row>
    <x:row r="101">
      <x:c r="A101" t="str">
        <x:v>Executed / total</x:v>
      </x:c>
      <x:c r="B101" s="12" t="n">
        <x:f>IFERROR((B99+C99)/E99,0)</x:f>
        <x:v>1</x:v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2">
      <x:c r="A2" s="1" t="str">
        <x:v>Guideline</x:v>
      </x:c>
    </x:row>
    <x:row r="4" ht="32" customHeight="1">
      <x:c r="A4" s="5" t="str">
        <x:v>Topic</x:v>
      </x:c>
      <x:c r="B4" s="5" t="str">
        <x:v>Meaning</x:v>
      </x:c>
    </x:row>
    <x:row r="5" ht="60" customHeight="1">
      <x:c r="A5" s="9" t="str">
        <x:v>Matrix convention</x:v>
      </x:c>
      <x:c r="B5" s="9" t="str">
        <x:v>One sheet per class/function-prefix group; columns are executed test cases including theory variants. Full test-method name remains in evidence.</x:v>
      </x:c>
    </x:row>
    <x:row r="6" ht="60" customHeight="1">
      <x:c r="A6" s="9" t="str">
        <x:v>Expected results</x:v>
      </x:c>
      <x:c r="B6" s="9" t="str">
        <x:v>Assertion excerpts are transcribed from source, not invented business requirements. Read referenced method for full setup/multiline assertions.</x:v>
      </x:c>
    </x:row>
    <x:row r="7" ht="60" customHeight="1">
      <x:c r="A7" s="9" t="str">
        <x:v>N / A / B</x:v>
      </x:c>
      <x:c r="B7" s="9" t="str">
        <x:v>Normal / Abnormal / Boundary. Initial classification by scenario; review before sign-off. It does not change recorded test outcomes.</x:v>
      </x:c>
    </x:row>
    <x:row r="8" ht="60" customHeight="1">
      <x:c r="A8" s="9" t="str">
        <x:v>LOC density</x:v>
      </x:c>
      <x:c r="B8" s="9" t="str">
        <x:v>No agreed KLOC threshold or measured per-function LOC; intentionally not calculated.</x:v>
      </x:c>
    </x:row>
    <x:row r="9" ht="60" customHeight="1">
      <x:c r="A9" s="9" t="str">
        <x:v>Statistics</x:v>
      </x:c>
      <x:c r="B9" s="9" t="str">
        <x:v>203 actual TRX results; no template sample results. Unit test pass is not feature acceptance or proof of service integration.</x:v>
      </x:c>
    </x:row>
    <x:row r="10" ht="60" customHeight="1">
      <x:c r="A10" s="9" t="str">
        <x:v>Known naming issue</x:v>
      </x:c>
      <x:c r="B10" s="9" t="str">
        <x:v>OccupiesCopy_ExcludesPendingRequests name is stale: its assertion expects Pending to occupy a copy. Follow assertion/code, not method label.</x:v>
      </x:c>
    </x:row>
    <x:row r="11" ht="60" customHeight="1">
      <x:c r="A11" s="9" t="str">
        <x:v>Live catalog label</x:v>
      </x:c>
      <x:c r="B11" s="9" t="str">
        <x:v>RealCatalogTopicTests uses a catalog fixture; names containing LiveCatalog do not imply a live Supabase query.</x:v>
      </x:c>
    </x:row>
    <x:row r="12" ht="85" customHeight="1">
      <x:c r="A12" s="9" t="str">
        <x:v>Related integration defect</x:v>
      </x:c>
      <x:c r="B12" s="9" t="str">
        <x:v>R5-DEF-001 — Open / Fail: Approved registration accepts request-more-info. Evidence: integration.trx, Registration_ApprovedRequest_CannotBeReopenedForDocuments. This is an integration failure, not a failed unit case; the 203 unit results remain Passed.</x:v>
      </x:c>
    </x:row>
    <x:row r="13" ht="85" customHeight="1">
      <x:c r="A13" s="9" t="str">
        <x:v>Related authorization defect</x:v>
      </x:c>
      <x:c r="B13" s="9" t="str">
        <x:v>R5-DEF-002 — Open / Fail: Reader can create a book via POST /api/v1/books/form (HTTP 201; persisted=True). Evidence: planned-api/planned-api.trx, ST_02_3_ReaderCannotMutateInventory. Integration defect; unit verdicts unchanged.</x:v>
      </x:c>
    </x:row>
  </x:sheetData>
  <x:pageMargins left="0.7" right="0.7" top="0.75" bottom="0.75" header="0.3" footer="0.3"/>
</x:worksheet>
</file>