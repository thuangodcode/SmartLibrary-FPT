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worksheets/sheet5.xml" ContentType="application/vnd.openxmlformats-officedocument.spreadsheetml.worksheet+xml"/>
  <Override PartName="/xl/comments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c8f440a8c94a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9" r:id="Rc2ebfc00217f40dc"/>
    <x:sheet xmlns:r="http://schemas.openxmlformats.org/officeDocument/2006/relationships" name="Test Cases" sheetId="2" r:id="Rbffc5b70e36c4223"/>
    <x:sheet xmlns:r="http://schemas.openxmlformats.org/officeDocument/2006/relationships" name="Test Statistics" sheetId="5" r:id="Ra08598166b0242be"/>
    <x:sheet xmlns:r="http://schemas.openxmlformats.org/officeDocument/2006/relationships" name="Feature 1" sheetId="3" r:id="R56b57c28832e479b"/>
    <x:sheet xmlns:r="http://schemas.openxmlformats.org/officeDocument/2006/relationships" name="Feature 2" sheetId="8" r:id="Rd42b0fca5f0c4743"/>
    <x:sheet xmlns:r="http://schemas.openxmlformats.org/officeDocument/2006/relationships" name="Requirement Traceability" sheetId="10" r:id="R8dfb8456e9104da1"/>
    <x:sheet xmlns:r="http://schemas.openxmlformats.org/officeDocument/2006/relationships" name="Unit Traceability" sheetId="11" r:id="R77fb8a24f336436f"/>
    <x:sheet xmlns:r="http://schemas.openxmlformats.org/officeDocument/2006/relationships" name="Mandatory Features" sheetId="12" r:id="R2e8967c5f95b40f3"/>
    <x:sheet xmlns:r="http://schemas.openxmlformats.org/officeDocument/2006/relationships" name="Main Workflows" sheetId="13" r:id="Rf3475ce5b8cf463f"/>
    <x:sheet xmlns:r="http://schemas.openxmlformats.org/officeDocument/2006/relationships" name="Defects" sheetId="14" r:id="R2fc3638f2ec547d6"/>
    <x:sheet xmlns:r="http://schemas.openxmlformats.org/officeDocument/2006/relationships" name="NFR Results" sheetId="15" r:id="R3d966e92779848f1"/>
    <x:sheet xmlns:r="http://schemas.openxmlformats.org/officeDocument/2006/relationships" name="ReadMe" sheetId="16" r:id="Rbf97be1ee6304d8f"/>
  </x:sheets>
  <x:definedNames>
    <x:definedName name="ACTION">#REF!</x:definedName>
    <x:definedName name="ACTION" localSheetId="0">#REF!</x:definedName>
  </x:definedNames>
</x:workbook>
</file>

<file path=xl/comments1.xml><?xml version="1.0" encoding="utf-8"?>
<x:comments xmlns:x="http://schemas.openxmlformats.org/spreadsheetml/2006/main">
  <x:authors>
    <x:author/>
  </x:authors>
  <x:commentList>
    <x:comment ref="D10" authorId="0">
      <x:text>
        <x:r>
          <x:t>*A: Add
  M: Modify
  D: Delete
</x:t>
        </x:r>
      </x:text>
    </x:comment>
  </x:commentList>
</x:comments>
</file>

<file path=xl/comments2.xml><?xml version="1.0" encoding="utf-8"?>
<x:comments xmlns:x="http://schemas.openxmlformats.org/spreadsheetml/2006/main">
  <x:authors>
    <x:author>tqsang</x:author>
  </x:authors>
  <x:commentList>
    <x:comment ref="E10" authorId="0">
      <x:text>
        <x:r>
          <x:t>List all test cases (must run before this case), conditions that must be done, or required state that the system should be in before performing this case</x:t>
        </x:r>
      </x:text>
    </x:comment>
  </x:commentList>
</x:comments>
</file>

<file path=xl/comments3.xml><?xml version="1.0" encoding="utf-8"?>
<x:comments xmlns:x="http://schemas.openxmlformats.org/spreadsheetml/2006/main">
  <x:authors>
    <x:author>tqsang</x:author>
  </x:authors>
  <x:commentList>
    <x:comment ref="E10" authorId="0">
      <x:text>
        <x:r>
          <x:t>List all test cases (must run before this case), conditions that must be done, or required state that the system should be in before performing this case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<x:sst xmlns:x="http://schemas.openxmlformats.org/spreadsheetml/2006/main">
  <x:si>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TEST REPORT DOCUMENT</x:t>
  </x:si>
  <x:si>
    <x:t xml:space="preserve">Project Name</x:t>
  </x:si>
  <x:si>
    <x:t xml:space="preserve">Creator</x:t>
  </x:si>
  <x:si>
    <x:t xml:space="preserve">Project Code</x:t>
  </x:si>
  <x:si>
    <x:t xml:space="preserve">Issue Date</x:t>
  </x:si>
  <x:si>
    <x:t xml:space="preserve">Document Code</x:t>
  </x:si>
  <x:si>
    <x:t xml:space="preserve">Version</x:t>
  </x:si>
  <x:si>
    <x:t xml:space="preserve">Record of change</x:t>
  </x:si>
  <x:si>
    <x:t xml:space="preserve">Effective Date</x:t>
  </x:si>
  <x:si>
    <x:t xml:space="preserve">Change Item</x:t>
  </x:si>
  <x:si>
    <x:t xml:space="preserve">*A,D,M</x:t>
  </x:si>
  <x:si>
    <x:t xml:space="preserve">Change description</x:t>
  </x:si>
  <x:si>
    <x:t xml:space="preserve">Reference</x:t>
  </x:si>
  <x:si>
    <x:t xml:space="preserve">TEST CASE LIST</x:t>
  </x:si>
  <x:si>
    <x:t xml:space="preserve">Test Environment Setup Description</x:t>
  </x:si>
  <x:si>
    <x:t xml:space="preserve">No</x:t>
  </x:si>
  <x:si>
    <x:t xml:space="preserve">Function Name</x:t>
  </x:si>
  <x:si>
    <x:t xml:space="preserve">Sheet Name</x:t>
  </x:si>
  <x:si>
    <x:t xml:space="preserve">Description</x:t>
  </x:si>
  <x:si>
    <x:t xml:space="preserve">Pre-Condition</x:t>
  </x:si>
  <x:si>
    <x:t xml:space="preserve">TEST STATISTICS</x:t>
  </x:si>
  <x:si>
    <x:t xml:space="preserve">Reviewer/Approver</x:t>
  </x:si>
  <x:si>
    <x:t xml:space="preserve">Notes</x:t>
  </x:si>
  <x:si>
    <x:t xml:space="preserve">Feature</x:t>
  </x:si>
  <x:si>
    <x:t xml:space="preserve">Passed</x:t>
  </x:si>
  <x:si>
    <x:t xml:space="preserve">Test requirement</x:t>
  </x:si>
  <x:si>
    <x:t xml:space="preserve">Failed</x:t>
  </x:si>
  <x:si>
    <x:t xml:space="preserve">Number of TCs</x:t>
  </x:si>
  <x:si>
    <x:t xml:space="preserve">Pending</x:t>
  </x:si>
  <x:si>
    <x:t xml:space="preserve">Testing Round</x:t>
  </x:si>
  <x:si>
    <x:t xml:space="preserve">N/A</x:t>
  </x:si>
  <x:si>
    <x:t xml:space="preserve">Round 1</x:t>
  </x:si>
  <x:si>
    <x:t xml:space="preserve">Round 2</x:t>
  </x:si>
  <x:si>
    <x:t xml:space="preserve">Round 3</x:t>
  </x:si>
</x:sst>
</file>

<file path=xl/styles.xml><?xml version="1.0" encoding="utf-8"?>
<x:styleSheet xmlns:x="http://schemas.openxmlformats.org/spreadsheetml/2006/main">
  <x:numFmts count="5">
    <x:numFmt numFmtId="164" formatCode="d\-mmm\-yy;@"/>
    <x:numFmt numFmtId="200" formatCode="0.0%"/>
    <x:numFmt numFmtId="201" formatCode="0.00%"/>
    <x:numFmt numFmtId="202" formatCode="0"/>
    <x:numFmt numFmtId="203" formatCode="0.00"/>
  </x:numFmts>
  <x:fonts count="30">
    <x:font>
      <x:sz val="11"/>
      <x:name val="ＭＳ Ｐゴシック"/>
    </x:font>
    <x:font>
      <x:sz val="9"/>
      <x:name val="ＭＳ ゴシック"/>
      <x:family val="3"/>
    </x:font>
    <x:font>
      <x:sz val="10"/>
      <x:name val="Tahoma"/>
      <x:family val="2"/>
    </x:font>
    <x:font>
      <x:b/>
      <x:sz val="26"/>
      <x:color indexed="10"/>
      <x:name val="Tahoma"/>
      <x:family val="2"/>
    </x:font>
    <x:font>
      <x:b/>
      <x:sz val="20"/>
      <x:color indexed="8"/>
      <x:name val="Tahoma"/>
      <x:family val="2"/>
    </x:font>
    <x:font>
      <x:b/>
      <x:sz val="10"/>
      <x:color indexed="60"/>
      <x:name val="Tahoma"/>
      <x:family val="2"/>
    </x:font>
    <x:font>
      <x:i/>
      <x:sz val="10"/>
      <x:color indexed="17"/>
      <x:name val="Tahoma"/>
      <x:family val="2"/>
    </x:font>
    <x:font>
      <x:b/>
      <x:sz val="10"/>
      <x:color indexed="9"/>
      <x:name val="Tahoma"/>
      <x:family val="2"/>
    </x:font>
    <x:font>
      <x:b/>
      <x:sz val="10"/>
      <x:color indexed="8"/>
      <x:name val="Tahoma"/>
      <x:family val="2"/>
    </x:font>
    <x:font>
      <x:b/>
      <x:sz val="10"/>
      <x:color indexed="10"/>
      <x:name val="Tahoma"/>
      <x:family val="2"/>
    </x:font>
    <x:font>
      <x:b/>
      <x:sz val="10"/>
      <x:name val="Tahoma"/>
      <x:family val="2"/>
    </x:font>
    <x:font>
      <x:u val="single"/>
      <x:sz val="10"/>
      <x:color indexed="12"/>
      <x:name val="Tahoma"/>
      <x:family val="2"/>
    </x:font>
    <x:font>
      <x:u val="single"/>
      <x:sz val="11"/>
      <x:color indexed="12"/>
      <x:name val="ＭＳ Ｐゴシック"/>
      <x:family val="3"/>
    </x:font>
    <x:font>
      <x:sz val="10"/>
      <x:color indexed="10"/>
      <x:name val="Tahoma"/>
      <x:family val="2"/>
    </x:font>
    <x:font>
      <x:sz val="10"/>
      <x:color indexed="8"/>
      <x:name val="Tahoma"/>
      <x:family val="2"/>
    </x:font>
    <x:font>
      <x:sz val="10"/>
      <x:color indexed="9"/>
      <x:name val="Tahoma"/>
      <x:family val="2"/>
    </x:font>
    <x:font>
      <x:b/>
      <x:sz val="10"/>
      <x:color indexed="12"/>
      <x:name val="Tahoma"/>
      <x:family val="2"/>
    </x:font>
    <x:font>
      <x:sz val="11"/>
      <x:name val="ＭＳ Ｐゴシック"/>
      <x:family val="2"/>
    </x:font>
    <x:font>
      <x:b/>
      <x:i/>
      <x:sz val="10"/>
      <x:name val="Tahoma"/>
      <x:family val="2"/>
    </x:font>
    <x:font>
      <x:sz val="8"/>
      <x:color rgb="FF000000"/>
      <x:name val="Tahoma"/>
      <x:family val="2"/>
    </x:font>
    <x:font>
      <x:sz val="11"/>
      <x:name val="ＭＳ Ｐゴシック"/>
      <x:family val="3"/>
    </x:font>
    <x:font>
      <x:i/>
      <x:sz val="10"/>
      <x:name val="Tahoma"/>
      <x:family val="2"/>
    </x:font>
    <x:font>
      <x:b/>
      <x:sz val="8"/>
      <x:color indexed="81"/>
      <x:name val="Tahoma"/>
      <x:family val="2"/>
    </x:font>
    <x:font>
      <x:sz val="8"/>
      <x:color indexed="81"/>
      <x:name val="Tahoma"/>
      <x:family val="2"/>
    </x:font>
    <x:font>
      <x:b/>
      <x:sz val="10"/>
      <x:color rgb="FFFFFFFF"/>
      <x:name val="Arial"/>
      <x:family val="2"/>
    </x:font>
    <x:font>
      <x:sz val="10"/>
      <x:color rgb="FF202020"/>
      <x:name val="Arial"/>
      <x:family val="2"/>
    </x:font>
    <x:font>
      <x:i/>
      <x:sz val="10"/>
      <x:color rgb="FF202020"/>
      <x:name val="Arial"/>
      <x:family val="2"/>
    </x:font>
    <x:font>
      <x:b/>
      <x:sz val="10"/>
      <x:color rgb="FFFFFFFF"/>
      <x:name val="Arial"/>
    </x:font>
    <x:font>
      <x:sz val="10"/>
      <x:color rgb="FF202020"/>
      <x:name val="Arial"/>
    </x:font>
    <x:font>
      <x:b/>
      <x:sz val="1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indexed="9"/>
      </x:patternFill>
    </x:fill>
    <x:fill>
      <x:patternFill patternType="solid">
        <x:fgColor indexed="18"/>
      </x:patternFill>
    </x:fill>
    <x:fill>
      <x:patternFill patternType="solid">
        <x:fgColor indexed="62"/>
      </x:patternFill>
    </x:fill>
    <x:fill>
      <x:patternFill patternType="solid">
        <x:fgColor indexed="27"/>
      </x:patternFill>
    </x:fill>
    <x:fill>
      <x:patternFill patternType="solid">
        <x:fgColor theme="6" tint="-0.24998"/>
      </x:patternFill>
    </x:fill>
    <x:fill>
      <x:patternFill patternType="solid">
        <x:fgColor rgb="FF789637"/>
      </x:patternFill>
    </x:fill>
    <x:fill>
      <x:patternFill patternType="solid">
        <x:fgColor rgb="FFFFFFFF"/>
      </x:patternFill>
    </x:fill>
  </x:fills>
  <x:borders count="36">
    <x:border>
      <x:left/>
      <x:right/>
      <x:top/>
      <x:bottom/>
      <x:diagonal/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  <x:diagonal/>
    </x:border>
    <x:border>
      <x:left/>
      <x:right style="thin">
        <x:color indexed="8"/>
      </x:right>
      <x:top style="thin">
        <x:color indexed="8"/>
      </x:top>
      <x:bottom style="thin">
        <x:color indexed="8"/>
      </x:bottom>
      <x:diagonal/>
    </x:border>
    <x:border>
      <x:left style="thin">
        <x:color indexed="8"/>
      </x:left>
      <x:right style="hair">
        <x:color indexed="8"/>
      </x:right>
      <x:top style="thin">
        <x:color indexed="8"/>
      </x:top>
      <x:bottom style="hair">
        <x:color indexed="8"/>
      </x:bottom>
      <x:diagonal/>
    </x:border>
    <x:border>
      <x:left style="hair">
        <x:color indexed="8"/>
      </x:left>
      <x:right style="hair">
        <x:color indexed="8"/>
      </x:right>
      <x:top style="thin">
        <x:color indexed="8"/>
      </x:top>
      <x:bottom style="hair">
        <x:color indexed="8"/>
      </x:bottom>
      <x:diagonal/>
    </x:border>
    <x:border>
      <x:left style="hair">
        <x:color indexed="8"/>
      </x:left>
      <x:right style="thin">
        <x:color indexed="8"/>
      </x:right>
      <x:top style="thin">
        <x:color indexed="8"/>
      </x:top>
      <x:bottom style="hair">
        <x:color indexed="8"/>
      </x:bottom>
      <x:diagonal/>
    </x:border>
    <x:border>
      <x:left style="thin">
        <x:color indexed="8"/>
      </x:left>
      <x:right style="hair">
        <x:color indexed="8"/>
      </x:right>
      <x:top style="hair">
        <x:color indexed="8"/>
      </x:top>
      <x:bottom style="hair">
        <x:color indexed="8"/>
      </x:bottom>
      <x:diagonal/>
    </x:border>
    <x:border>
      <x:left style="hair">
        <x:color indexed="8"/>
      </x:left>
      <x:right style="hair">
        <x:color indexed="8"/>
      </x:right>
      <x:top style="hair">
        <x:color indexed="8"/>
      </x:top>
      <x:bottom style="hair">
        <x:color indexed="8"/>
      </x:bottom>
      <x:diagonal/>
    </x:border>
    <x:border>
      <x:left style="hair">
        <x:color indexed="8"/>
      </x:left>
      <x:right style="thin">
        <x:color indexed="8"/>
      </x:right>
      <x:top style="hair">
        <x:color indexed="8"/>
      </x:top>
      <x:bottom style="hair">
        <x:color indexed="8"/>
      </x:bottom>
      <x:diagonal/>
    </x:border>
    <x:border>
      <x:left style="thin">
        <x:color indexed="8"/>
      </x:left>
      <x:right style="hair">
        <x:color indexed="8"/>
      </x:right>
      <x:top style="hair">
        <x:color indexed="8"/>
      </x:top>
      <x:bottom style="thin">
        <x:color indexed="8"/>
      </x:bottom>
      <x:diagonal/>
    </x:border>
    <x:border>
      <x:left style="hair">
        <x:color indexed="8"/>
      </x:left>
      <x:right style="hair">
        <x:color indexed="8"/>
      </x:right>
      <x:top style="hair">
        <x:color indexed="8"/>
      </x:top>
      <x:bottom style="thin">
        <x:color indexed="8"/>
      </x:bottom>
      <x:diagonal/>
    </x:border>
    <x:border>
      <x:left style="hair">
        <x:color indexed="8"/>
      </x:left>
      <x:right style="thin">
        <x:color indexed="8"/>
      </x:right>
      <x:top style="hair">
        <x:color indexed="8"/>
      </x:top>
      <x:bottom style="thin">
        <x:color indexed="8"/>
      </x:bottom>
      <x:diagonal/>
    </x:border>
    <x:border>
      <x:left style="hair">
        <x:color indexed="8"/>
      </x:left>
      <x:right/>
      <x:top style="thin">
        <x:color indexed="8"/>
      </x:top>
      <x:bottom style="hair">
        <x:color indexed="8"/>
      </x:bottom>
      <x:diagonal/>
    </x:border>
    <x:border>
      <x:left style="thin">
        <x:color indexed="8"/>
      </x:left>
      <x:right/>
      <x:top style="thin">
        <x:color indexed="8"/>
      </x:top>
      <x:bottom style="thin">
        <x:color indexed="8"/>
      </x:bottom>
      <x:diagonal/>
    </x:border>
    <x:border>
      <x:left/>
      <x:right/>
      <x:top style="thin">
        <x:color indexed="8"/>
      </x:top>
      <x:bottom style="thin">
        <x:color indexed="8"/>
      </x:bottom>
      <x:diagonal/>
    </x:border>
    <x:border>
      <x:left/>
      <x:right style="medium">
        <x:color indexed="8"/>
      </x:right>
      <x:top/>
      <x:bottom/>
      <x:diagonal/>
    </x:border>
    <x:border>
      <x:left/>
      <x:right style="hair">
        <x:color indexed="8"/>
      </x:right>
      <x:top style="thin">
        <x:color indexed="8"/>
      </x:top>
      <x:bottom style="hair">
        <x:color indexed="8"/>
      </x:bottom>
      <x:diagonal/>
    </x:border>
    <x:border>
      <x:left style="hair">
        <x:color indexed="8"/>
      </x:left>
      <x:right style="medium">
        <x:color indexed="8"/>
      </x:right>
      <x:top style="thin">
        <x:color indexed="8"/>
      </x:top>
      <x:bottom style="hair">
        <x:color indexed="8"/>
      </x:bottom>
      <x:diagonal/>
    </x:border>
    <x:border>
      <x:left/>
      <x:right style="hair">
        <x:color indexed="8"/>
      </x:right>
      <x:top style="hair">
        <x:color indexed="8"/>
      </x:top>
      <x:bottom style="hair">
        <x:color indexed="8"/>
      </x:bottom>
      <x:diagonal/>
    </x:border>
    <x:border>
      <x:left style="hair">
        <x:color indexed="8"/>
      </x:left>
      <x:right/>
      <x:top style="hair">
        <x:color indexed="8"/>
      </x:top>
      <x:bottom style="hair">
        <x:color indexed="8"/>
      </x:bottom>
      <x:diagonal/>
    </x:border>
    <x:border>
      <x:left style="hair">
        <x:color indexed="8"/>
      </x:left>
      <x:right style="medium">
        <x:color indexed="8"/>
      </x:right>
      <x:top style="hair">
        <x:color indexed="8"/>
      </x:top>
      <x:bottom style="hair">
        <x:color indexed="8"/>
      </x:bottom>
      <x:diagonal/>
    </x:border>
    <x:border>
      <x:left/>
      <x:right style="hair">
        <x:color indexed="8"/>
      </x:right>
      <x:top style="hair">
        <x:color indexed="8"/>
      </x:top>
      <x:bottom style="thin">
        <x:color indexed="8"/>
      </x:bottom>
      <x:diagonal/>
    </x:border>
    <x:border>
      <x:left style="hair">
        <x:color indexed="8"/>
      </x:left>
      <x:right style="medium">
        <x:color indexed="8"/>
      </x:right>
      <x:top style="hair">
        <x:color indexed="8"/>
      </x:top>
      <x:bottom style="thin">
        <x:color indexed="8"/>
      </x:bottom>
      <x:diagonal/>
    </x:border>
    <x:border>
      <x:left style="thin">
        <x:color indexed="8"/>
      </x:left>
      <x:right/>
      <x:top/>
      <x:bottom style="thin">
        <x:color indexed="8"/>
      </x:bottom>
      <x:diagonal/>
    </x:border>
    <x:border>
      <x:left/>
      <x:right/>
      <x:top/>
      <x:bottom style="thin">
        <x:color indexed="8"/>
      </x:bottom>
      <x:diagonal/>
    </x:border>
    <x:border>
      <x:left/>
      <x:right style="thin">
        <x:color indexed="8"/>
      </x:right>
      <x:top/>
      <x:bottom style="thin">
        <x:color indexed="8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/>
    </x:border>
  </x:borders>
  <x:cellStyleXfs count="6">
    <x:xf numFmtId="0" fontId="0" fillId="0" borderId="0"/>
    <x:xf numFmtId="0" fontId="12" fillId="0" borderId="0" applyNumberFormat="0" applyFill="0" applyBorder="0" applyAlignment="0" applyProtection="0"/>
    <x:xf numFmtId="0" fontId="17" fillId="0" borderId="0"/>
    <x:xf numFmtId="0" fontId="17" fillId="0" borderId="0"/>
    <x:xf numFmtId="0" fontId="1" fillId="0" borderId="0"/>
    <x:xf numFmtId="0" fontId="20" fillId="0" borderId="0"/>
  </x:cellStyleXfs>
  <x:cellXfs count="245">
    <x:xf numFmtId="0" fontId="0" fillId="0" borderId="0" xfId="0"/>
    <x:xf numFmtId="0" fontId="2" fillId="2" borderId="0" xfId="0" applyFont="1" applyFill="1"/>
    <x:xf numFmtId="0" fontId="5" fillId="2" borderId="1" xfId="0" applyFont="1" applyFill="1" applyBorder="1" applyAlignment="1">
      <x:alignment horizontal="left" vertical="center"/>
    </x:xf>
    <x:xf numFmtId="1" fontId="2" fillId="2" borderId="0" xfId="0" applyNumberFormat="1" applyFont="1" applyFill="1"/>
    <x:xf numFmtId="0" fontId="2" fillId="2" borderId="0" xfId="0" applyFont="1" applyFill="1" applyAlignment="1">
      <x:alignment horizontal="left"/>
    </x:xf>
    <x:xf numFmtId="1" fontId="2" fillId="2" borderId="0" xfId="0" applyNumberFormat="1" applyFont="1" applyFill="1" applyProtection="1">
      <x:protection hidden="1"/>
    </x:xf>
    <x:xf numFmtId="0" fontId="4" fillId="2" borderId="0" xfId="0" applyFont="1" applyFill="1" applyAlignment="1">
      <x:alignment horizontal="left"/>
    </x:xf>
    <x:xf numFmtId="0" fontId="8" fillId="2" borderId="0" xfId="0" applyFont="1" applyFill="1" applyAlignment="1">
      <x:alignment horizontal="left"/>
    </x:xf>
    <x:xf numFmtId="0" fontId="9" fillId="2" borderId="0" xfId="0" applyFont="1" applyFill="1" applyAlignment="1">
      <x:alignment horizontal="left"/>
    </x:xf>
    <x:xf numFmtId="0" fontId="2" fillId="2" borderId="0" xfId="0" applyFont="1" applyFill="1" applyAlignment="1">
      <x:alignment wrapText="1"/>
    </x:xf>
    <x:xf numFmtId="1" fontId="5" fillId="2" borderId="0" xfId="0" applyNumberFormat="1" applyFont="1" applyFill="1" applyBorder="1" applyAlignment="1"/>
    <x:xf numFmtId="0" fontId="2" fillId="2" borderId="0" xfId="0" applyFont="1" applyFill="1" applyBorder="1" applyAlignment="1"/>
    <x:xf numFmtId="0" fontId="2" fillId="2" borderId="0" xfId="0" applyFont="1" applyFill="1" applyAlignment="1">
      <x:alignment vertical="center"/>
    </x:xf>
    <x:xf numFmtId="1" fontId="2" fillId="2" borderId="0" xfId="0" applyNumberFormat="1" applyFont="1" applyFill="1" applyAlignment="1" applyProtection="1">
      <x:alignment vertical="center"/>
      <x:protection hidden="1"/>
    </x:xf>
    <x:xf numFmtId="0" fontId="2" fillId="2" borderId="0" xfId="0" applyFont="1" applyFill="1" applyAlignment="1">
      <x:alignment horizontal="left" vertical="center"/>
    </x:xf>
    <x:xf numFmtId="0" fontId="10" fillId="2" borderId="0" xfId="0" applyFont="1" applyFill="1" applyAlignment="1">
      <x:alignment horizontal="center"/>
    </x:xf>
    <x:xf numFmtId="1" fontId="7" fillId="4" borderId="3" xfId="0" applyNumberFormat="1" applyFont="1" applyFill="1" applyBorder="1" applyAlignment="1">
      <x:alignment horizontal="center" vertical="center"/>
    </x:xf>
    <x:xf numFmtId="0" fontId="7" fillId="4" borderId="4" xfId="0" applyFont="1" applyFill="1" applyBorder="1" applyAlignment="1">
      <x:alignment horizontal="center" vertical="center"/>
    </x:xf>
    <x:xf numFmtId="0" fontId="7" fillId="4" borderId="12" xfId="0" applyFont="1" applyFill="1" applyBorder="1" applyAlignment="1">
      <x:alignment horizontal="center" vertical="center"/>
    </x:xf>
    <x:xf numFmtId="0" fontId="7" fillId="4" borderId="5" xfId="0" applyFont="1" applyFill="1" applyBorder="1" applyAlignment="1">
      <x:alignment horizontal="center" vertical="center"/>
    </x:xf>
    <x:xf numFmtId="1" fontId="2" fillId="2" borderId="6" xfId="0" applyNumberFormat="1" applyFont="1" applyFill="1" applyBorder="1" applyAlignment="1">
      <x:alignment vertical="center"/>
    </x:xf>
    <x:xf numFmtId="49" fontId="2" fillId="2" borderId="7" xfId="0" applyNumberFormat="1" applyFont="1" applyFill="1" applyBorder="1" applyAlignment="1">
      <x:alignment horizontal="left" vertical="center"/>
    </x:xf>
    <x:xf numFmtId="0" fontId="11" fillId="2" borderId="7" xfId="1" applyNumberFormat="1" applyFont="1" applyFill="1" applyBorder="1" applyAlignment="1" applyProtection="1">
      <x:alignment horizontal="left" vertical="center"/>
    </x:xf>
    <x:xf numFmtId="0" fontId="2" fillId="2" borderId="8" xfId="0" applyFont="1" applyFill="1" applyBorder="1" applyAlignment="1">
      <x:alignment horizontal="left" vertical="center"/>
    </x:xf>
    <x:xf numFmtId="0" fontId="2" fillId="2" borderId="7" xfId="0" applyFont="1" applyFill="1" applyBorder="1" applyAlignment="1">
      <x:alignment horizontal="left" vertical="center"/>
    </x:xf>
    <x:xf numFmtId="1" fontId="2" fillId="2" borderId="9" xfId="0" applyNumberFormat="1" applyFont="1" applyFill="1" applyBorder="1" applyAlignment="1">
      <x:alignment vertical="center"/>
    </x:xf>
    <x:xf numFmtId="49" fontId="2" fillId="2" borderId="10" xfId="0" applyNumberFormat="1" applyFont="1" applyFill="1" applyBorder="1" applyAlignment="1">
      <x:alignment horizontal="left" vertical="center"/>
    </x:xf>
    <x:xf numFmtId="0" fontId="2" fillId="2" borderId="10" xfId="0" applyFont="1" applyFill="1" applyBorder="1" applyAlignment="1">
      <x:alignment horizontal="left" vertical="center"/>
    </x:xf>
    <x:xf numFmtId="0" fontId="2" fillId="2" borderId="11" xfId="0" applyFont="1" applyFill="1" applyBorder="1" applyAlignment="1">
      <x:alignment horizontal="left" vertical="center"/>
    </x:xf>
    <x:xf numFmtId="0" fontId="2" fillId="2" borderId="0" xfId="0" applyFont="1" applyFill="1" applyAlignment="1"/>
    <x:xf numFmtId="0" fontId="13" fillId="2" borderId="0" xfId="0" applyFont="1" applyFill="1"/>
    <x:xf numFmtId="0" fontId="13" fillId="2" borderId="0" xfId="0" applyFont="1" applyFill="1" applyAlignment="1">
      <x:alignment wrapText="1"/>
    </x:xf>
    <x:xf numFmtId="0" fontId="14" fillId="2" borderId="0" xfId="0" applyFont="1" applyFill="1" applyAlignment="1"/>
    <x:xf numFmtId="0" fontId="2" fillId="2" borderId="0" xfId="0" applyFont="1" applyFill="1" applyAlignment="1" applyProtection="1">
      <x:alignment wrapText="1"/>
    </x:xf>
    <x:xf numFmtId="0" fontId="2" fillId="2" borderId="0" xfId="0" applyFont="1" applyFill="1" applyBorder="1" applyAlignment="1">
      <x:alignment horizontal="center" wrapText="1"/>
    </x:xf>
    <x:xf numFmtId="0" fontId="13" fillId="2" borderId="0" xfId="0" applyFont="1" applyFill="1" applyBorder="1" applyAlignment="1">
      <x:alignment horizontal="center" wrapText="1"/>
    </x:xf>
    <x:xf numFmtId="0" fontId="14" fillId="2" borderId="0" xfId="0" applyFont="1" applyFill="1" applyBorder="1" applyAlignment="1">
      <x:alignment horizontal="center" wrapText="1"/>
    </x:xf>
    <x:xf numFmtId="0" fontId="9" fillId="2" borderId="0" xfId="3" applyFont="1" applyFill="1" applyBorder="1" applyAlignment="1">
      <x:alignment horizontal="center" vertical="center" wrapText="1"/>
    </x:xf>
    <x:xf numFmtId="0" fontId="10" fillId="5" borderId="13" xfId="3" applyFont="1" applyFill="1" applyBorder="1" applyAlignment="1">
      <x:alignment horizontal="left" vertical="center"/>
    </x:xf>
    <x:xf numFmtId="0" fontId="10" fillId="5" borderId="14" xfId="3" applyFont="1" applyFill="1" applyBorder="1" applyAlignment="1">
      <x:alignment horizontal="left" vertical="center"/>
    </x:xf>
    <x:xf numFmtId="0" fontId="10" fillId="5" borderId="2" xfId="3" applyFont="1" applyFill="1" applyBorder="1" applyAlignment="1">
      <x:alignment horizontal="left" vertical="center"/>
    </x:xf>
    <x:xf numFmtId="0" fontId="9" fillId="2" borderId="0" xfId="3" applyFont="1" applyFill="1" applyBorder="1" applyAlignment="1">
      <x:alignment horizontal="left" vertical="center"/>
    </x:xf>
    <x:xf numFmtId="0" fontId="2" fillId="2" borderId="1" xfId="3" applyFont="1" applyFill="1" applyBorder="1" applyAlignment="1">
      <x:alignment vertical="top" wrapText="1"/>
    </x:xf>
    <x:xf numFmtId="0" fontId="6" fillId="2" borderId="1" xfId="3" applyFont="1" applyFill="1" applyBorder="1" applyAlignment="1">
      <x:alignment vertical="top" wrapText="1"/>
    </x:xf>
    <x:xf numFmtId="0" fontId="6" fillId="2" borderId="1" xfId="0" applyFont="1" applyFill="1" applyBorder="1" applyAlignment="1">
      <x:alignment horizontal="left" vertical="top" wrapText="1"/>
    </x:xf>
    <x:xf numFmtId="0" fontId="2" fillId="2" borderId="1" xfId="0" applyFont="1" applyFill="1" applyBorder="1" applyAlignment="1">
      <x:alignment vertical="top" wrapText="1"/>
    </x:xf>
    <x:xf numFmtId="0" fontId="13" fillId="2" borderId="0" xfId="0" applyFont="1" applyFill="1" applyBorder="1" applyAlignment="1">
      <x:alignment vertical="top" wrapText="1"/>
    </x:xf>
    <x:xf numFmtId="0" fontId="14" fillId="2" borderId="0" xfId="0" applyFont="1" applyFill="1" applyAlignment="1">
      <x:alignment vertical="top"/>
    </x:xf>
    <x:xf numFmtId="0" fontId="14" fillId="2" borderId="1" xfId="0" applyFont="1" applyFill="1" applyBorder="1" applyAlignment="1">
      <x:alignment horizontal="left" vertical="top" wrapText="1"/>
    </x:xf>
    <x:xf numFmtId="0" fontId="2" fillId="2" borderId="1" xfId="0" applyFont="1" applyFill="1" applyBorder="1" applyAlignment="1"/>
    <x:xf numFmtId="0" fontId="2" fillId="2" borderId="1" xfId="0" applyFont="1" applyFill="1" applyBorder="1"/>
    <x:xf numFmtId="0" fontId="13" fillId="2" borderId="0" xfId="0" applyFont="1" applyFill="1" applyBorder="1"/>
    <x:xf numFmtId="0" fontId="10" fillId="2" borderId="0" xfId="2" applyFont="1" applyFill="1" applyBorder="1"/>
    <x:xf numFmtId="0" fontId="2" fillId="2" borderId="0" xfId="2" applyFont="1" applyFill="1" applyBorder="1"/>
    <x:xf numFmtId="164" fontId="2" fillId="2" borderId="0" xfId="2" applyNumberFormat="1" applyFont="1" applyFill="1" applyBorder="1"/>
    <x:xf numFmtId="0" fontId="5" fillId="2" borderId="2" xfId="0" applyFont="1" applyFill="1" applyBorder="1" applyAlignment="1">
      <x:alignment horizontal="left"/>
    </x:xf>
    <x:xf numFmtId="0" fontId="2" fillId="2" borderId="2" xfId="0" applyFont="1" applyFill="1" applyBorder="1" applyAlignment="1">
      <x:alignment vertical="top"/>
    </x:xf>
    <x:xf numFmtId="0" fontId="5" fillId="2" borderId="1" xfId="0" applyFont="1" applyFill="1" applyBorder="1" applyAlignment="1">
      <x:alignment vertical="center"/>
    </x:xf>
    <x:xf numFmtId="0" fontId="6" fillId="2" borderId="2" xfId="0" applyFont="1" applyFill="1" applyBorder="1" applyAlignment="1">
      <x:alignment vertical="top"/>
    </x:xf>
    <x:xf numFmtId="0" fontId="5" fillId="2" borderId="0" xfId="0" applyFont="1" applyFill="1"/>
    <x:xf numFmtId="0" fontId="6" fillId="2" borderId="0" xfId="2" applyFont="1" applyFill="1" applyBorder="1"/>
    <x:xf numFmtId="0" fontId="2" fillId="2" borderId="0" xfId="0" applyFont="1" applyFill="1" applyBorder="1"/>
    <x:xf numFmtId="0" fontId="2" fillId="2" borderId="15" xfId="0" applyFont="1" applyFill="1" applyBorder="1" applyAlignment="1"/>
    <x:xf numFmtId="0" fontId="7" fillId="3" borderId="16" xfId="0" applyNumberFormat="1" applyFont="1" applyFill="1" applyBorder="1" applyAlignment="1">
      <x:alignment horizontal="center"/>
    </x:xf>
    <x:xf numFmtId="0" fontId="7" fillId="3" borderId="4" xfId="0" applyNumberFormat="1" applyFont="1" applyFill="1" applyBorder="1" applyAlignment="1">
      <x:alignment horizontal="center"/>
    </x:xf>
    <x:xf numFmtId="0" fontId="7" fillId="3" borderId="4" xfId="0" applyNumberFormat="1" applyFont="1" applyFill="1" applyBorder="1" applyAlignment="1">
      <x:alignment horizontal="center" wrapText="1"/>
    </x:xf>
    <x:xf numFmtId="0" fontId="7" fillId="3" borderId="12" xfId="0" applyNumberFormat="1" applyFont="1" applyFill="1" applyBorder="1" applyAlignment="1">
      <x:alignment horizontal="center"/>
    </x:xf>
    <x:xf numFmtId="0" fontId="7" fillId="3" borderId="17" xfId="0" applyNumberFormat="1" applyFont="1" applyFill="1" applyBorder="1" applyAlignment="1">
      <x:alignment horizontal="center" wrapText="1"/>
    </x:xf>
    <x:xf numFmtId="0" fontId="2" fillId="2" borderId="15" xfId="0" applyFont="1" applyFill="1" applyBorder="1"/>
    <x:xf numFmtId="0" fontId="2" fillId="2" borderId="18" xfId="0" applyNumberFormat="1" applyFont="1" applyFill="1" applyBorder="1" applyAlignment="1">
      <x:alignment horizontal="center"/>
    </x:xf>
    <x:xf numFmtId="0" fontId="2" fillId="2" borderId="7" xfId="0" applyNumberFormat="1" applyFont="1" applyFill="1" applyBorder="1"/>
    <x:xf numFmtId="0" fontId="2" fillId="2" borderId="7" xfId="0" applyNumberFormat="1" applyFont="1" applyFill="1" applyBorder="1" applyAlignment="1">
      <x:alignment horizontal="center"/>
    </x:xf>
    <x:xf numFmtId="0" fontId="2" fillId="2" borderId="19" xfId="0" applyNumberFormat="1" applyFont="1" applyFill="1" applyBorder="1" applyAlignment="1">
      <x:alignment horizontal="center"/>
    </x:xf>
    <x:xf numFmtId="0" fontId="2" fillId="2" borderId="20" xfId="0" applyNumberFormat="1" applyFont="1" applyFill="1" applyBorder="1" applyAlignment="1">
      <x:alignment horizontal="center"/>
    </x:xf>
    <x:xf numFmtId="0" fontId="15" fillId="3" borderId="21" xfId="0" applyNumberFormat="1" applyFont="1" applyFill="1" applyBorder="1" applyAlignment="1">
      <x:alignment horizontal="center"/>
    </x:xf>
    <x:xf numFmtId="0" fontId="7" fillId="3" borderId="10" xfId="0" applyFont="1" applyFill="1" applyBorder="1"/>
    <x:xf numFmtId="0" fontId="15" fillId="3" borderId="10" xfId="0" applyFont="1" applyFill="1" applyBorder="1" applyAlignment="1">
      <x:alignment horizontal="center"/>
    </x:xf>
    <x:xf numFmtId="0" fontId="15" fillId="3" borderId="22" xfId="0" applyFont="1" applyFill="1" applyBorder="1" applyAlignment="1">
      <x:alignment horizontal="center"/>
    </x:xf>
    <x:xf numFmtId="0" fontId="2" fillId="2" borderId="0" xfId="0" applyFont="1" applyFill="1" applyBorder="1" applyAlignment="1">
      <x:alignment horizontal="center"/>
    </x:xf>
    <x:xf numFmtId="10" fontId="2" fillId="2" borderId="0" xfId="0" applyNumberFormat="1" applyFont="1" applyFill="1" applyBorder="1" applyAlignment="1">
      <x:alignment horizontal="center"/>
    </x:xf>
    <x:xf numFmtId="9" fontId="2" fillId="2" borderId="0" xfId="0" applyNumberFormat="1" applyFont="1" applyFill="1" applyBorder="1" applyAlignment="1">
      <x:alignment horizontal="center"/>
    </x:xf>
    <x:xf numFmtId="0" fontId="5" fillId="2" borderId="0" xfId="0" applyFont="1" applyFill="1" applyBorder="1" applyAlignment="1">
      <x:alignment horizontal="left"/>
    </x:xf>
    <x:xf numFmtId="2" fontId="16" fillId="2" borderId="0" xfId="0" applyNumberFormat="1" applyFont="1" applyFill="1" applyBorder="1" applyAlignment="1">
      <x:alignment horizontal="right" wrapText="1"/>
    </x:xf>
    <x:xf numFmtId="0" fontId="6" fillId="2" borderId="0" xfId="3" applyFont="1" applyFill="1" applyBorder="1" applyAlignment="1">
      <x:alignment horizontal="left" wrapText="1"/>
    </x:xf>
    <x:xf numFmtId="0" fontId="8" fillId="2" borderId="0" xfId="0" applyFont="1" applyFill="1" applyBorder="1" applyAlignment="1">
      <x:alignment horizontal="center" vertical="center" wrapText="1"/>
    </x:xf>
    <x:xf numFmtId="0" fontId="14" fillId="2" borderId="0" xfId="0" applyFont="1" applyFill="1" applyBorder="1" applyAlignment="1">
      <x:alignment horizontal="center" vertical="center" wrapText="1"/>
    </x:xf>
    <x:xf numFmtId="0" fontId="10" fillId="5" borderId="23" xfId="3" applyFont="1" applyFill="1" applyBorder="1" applyAlignment="1">
      <x:alignment horizontal="left" vertical="center"/>
    </x:xf>
    <x:xf numFmtId="0" fontId="10" fillId="5" borderId="24" xfId="3" applyFont="1" applyFill="1" applyBorder="1" applyAlignment="1">
      <x:alignment horizontal="left" vertical="center"/>
    </x:xf>
    <x:xf numFmtId="0" fontId="10" fillId="5" borderId="25" xfId="3" applyFont="1" applyFill="1" applyBorder="1" applyAlignment="1">
      <x:alignment horizontal="left" vertical="center"/>
    </x:xf>
    <x:xf numFmtId="0" fontId="6" fillId="2" borderId="0" xfId="3" applyFont="1" applyFill="1" applyBorder="1" applyAlignment="1">
      <x:alignment wrapText="1"/>
    </x:xf>
    <x:xf numFmtId="0" fontId="7" fillId="6" borderId="26" xfId="3" applyFont="1" applyFill="1" applyBorder="1" applyAlignment="1">
      <x:alignment horizontal="center" vertical="center" wrapText="1"/>
    </x:xf>
    <x:xf numFmtId="0" fontId="18" fillId="2" borderId="26" xfId="3" applyFont="1" applyFill="1" applyBorder="1" applyAlignment="1">
      <x:alignment horizontal="center" vertical="top" wrapText="1"/>
    </x:xf>
    <x:xf numFmtId="0" fontId="2" fillId="2" borderId="26" xfId="3" applyFont="1" applyFill="1" applyBorder="1" applyAlignment="1">
      <x:alignment horizontal="center" vertical="top" wrapText="1"/>
    </x:xf>
    <x:xf numFmtId="0" fontId="18" fillId="2" borderId="30" xfId="3" applyFont="1" applyFill="1" applyBorder="1" applyAlignment="1">
      <x:alignment horizontal="center" vertical="top" wrapText="1"/>
    </x:xf>
    <x:xf numFmtId="0" fontId="18" fillId="2" borderId="31" xfId="3" applyFont="1" applyFill="1" applyBorder="1" applyAlignment="1">
      <x:alignment horizontal="center" vertical="top" wrapText="1"/>
    </x:xf>
    <x:xf numFmtId="0" fontId="18" fillId="2" borderId="32" xfId="3" applyFont="1" applyFill="1" applyBorder="1" applyAlignment="1">
      <x:alignment horizontal="center" vertical="top" wrapText="1"/>
    </x:xf>
    <x:xf numFmtId="0" fontId="2" fillId="2" borderId="33" xfId="3" applyFont="1" applyFill="1" applyBorder="1" applyAlignment="1">
      <x:alignment horizontal="center" vertical="top" wrapText="1"/>
    </x:xf>
    <x:xf numFmtId="0" fontId="2" fillId="2" borderId="34" xfId="3" applyFont="1" applyFill="1" applyBorder="1" applyAlignment="1">
      <x:alignment horizontal="center" vertical="top" wrapText="1"/>
    </x:xf>
    <x:xf numFmtId="0" fontId="2" fillId="2" borderId="31" xfId="3" applyFont="1" applyFill="1" applyBorder="1" applyAlignment="1">
      <x:alignment horizontal="center" vertical="top" wrapText="1"/>
    </x:xf>
    <x:xf numFmtId="0" fontId="10" fillId="2" borderId="27" xfId="3" applyFont="1" applyFill="1" applyBorder="1" applyAlignment="1">
      <x:alignment horizontal="center" vertical="top" wrapText="1"/>
    </x:xf>
    <x:xf numFmtId="0" fontId="10" fillId="2" borderId="30" xfId="3" applyFont="1" applyFill="1" applyBorder="1" applyAlignment="1">
      <x:alignment horizontal="center" vertical="top" wrapText="1"/>
    </x:xf>
    <x:xf numFmtId="0" fontId="12" fillId="2" borderId="7" xfId="1" applyNumberFormat="1" applyFill="1" applyBorder="1" applyAlignment="1" applyProtection="1">
      <x:alignment horizontal="left" vertical="center"/>
    </x:xf>
    <x:xf numFmtId="1" fontId="5" fillId="2" borderId="1" xfId="0" applyNumberFormat="1" applyFont="1" applyFill="1" applyBorder="1" applyAlignment="1">
      <x:alignment vertical="center" wrapText="1"/>
    </x:xf>
    <x:xf numFmtId="0" fontId="6" fillId="2" borderId="1" xfId="0" applyFont="1" applyFill="1" applyBorder="1" applyAlignment="1">
      <x:alignment vertical="top" wrapText="1"/>
    </x:xf>
    <x:xf numFmtId="1" fontId="5" fillId="2" borderId="13" xfId="0" applyNumberFormat="1" applyFont="1" applyFill="1" applyBorder="1" applyAlignment="1"/>
    <x:xf numFmtId="0" fontId="6" fillId="2" borderId="1" xfId="0" applyFont="1" applyFill="1" applyBorder="1" applyAlignment="1">
      <x:alignment horizontal="left"/>
    </x:xf>
    <x:xf numFmtId="0" fontId="5" fillId="2" borderId="1" xfId="0" applyFont="1" applyFill="1" applyBorder="1" applyAlignment="1">
      <x:alignment horizontal="left"/>
    </x:xf>
    <x:xf numFmtId="0" fontId="6" fillId="2" borderId="1" xfId="2" applyFont="1" applyFill="1" applyBorder="1" applyAlignment="1">
      <x:alignment vertical="top"/>
    </x:xf>
    <x:xf numFmtId="0" fontId="4" fillId="2" borderId="0" xfId="2" applyFont="1" applyFill="1" applyBorder="1" applyAlignment="1">
      <x:alignment horizontal="center"/>
    </x:xf>
    <x:xf numFmtId="0" fontId="2" fillId="2" borderId="28" xfId="3" applyFont="1" applyFill="1" applyBorder="1" applyAlignment="1">
      <x:alignment horizontal="left" vertical="top" wrapText="1"/>
    </x:xf>
    <x:xf numFmtId="0" fontId="2" fillId="2" borderId="29" xfId="3" applyFont="1" applyFill="1" applyBorder="1" applyAlignment="1">
      <x:alignment horizontal="left" vertical="top" wrapText="1"/>
    </x:xf>
    <x:xf numFmtId="0" fontId="2" fillId="2" borderId="26" xfId="3" applyFont="1" applyFill="1" applyBorder="1" applyAlignment="1">
      <x:alignment horizontal="left" vertical="top" wrapText="1"/>
    </x:xf>
    <x:xf numFmtId="0" fontId="2" fillId="2" borderId="31" xfId="3" applyFont="1" applyFill="1" applyBorder="1" applyAlignment="1">
      <x:alignment horizontal="left" vertical="top" wrapText="1"/>
    </x:xf>
    <x:xf numFmtId="0" fontId="3" fillId="0" borderId="13" xfId="5" applyFont="1" applyBorder="1" applyAlignment="1">
      <x:alignment horizontal="center" vertical="center"/>
    </x:xf>
    <x:xf numFmtId="0" fontId="4" fillId="0" borderId="1" xfId="5" applyFont="1" applyBorder="1" applyAlignment="1">
      <x:alignment horizontal="center" vertical="center"/>
    </x:xf>
    <x:xf numFmtId="0" fontId="2" fillId="0" borderId="0" xfId="5" applyFont="1" applyAlignment="1">
      <x:alignment horizontal="center" vertical="center"/>
    </x:xf>
    <x:xf numFmtId="0" fontId="5" fillId="2" borderId="0" xfId="5" applyFont="1" applyFill="1" applyAlignment="1">
      <x:alignment horizontal="left"/>
    </x:xf>
    <x:xf numFmtId="0" fontId="6" fillId="0" borderId="0" xfId="5" applyFont="1" applyAlignment="1">
      <x:alignment horizontal="left"/>
    </x:xf>
    <x:xf numFmtId="0" fontId="2" fillId="0" borderId="0" xfId="5" applyFont="1"/>
    <x:xf numFmtId="0" fontId="2" fillId="2" borderId="0" xfId="5" applyFont="1" applyFill="1"/>
    <x:xf numFmtId="0" fontId="10" fillId="2" borderId="1" xfId="5" applyFont="1" applyFill="1" applyBorder="1" applyAlignment="1">
      <x:alignment horizontal="left"/>
    </x:xf>
    <x:xf numFmtId="0" fontId="21" fillId="0" borderId="1" xfId="5" applyFont="1" applyBorder="1" applyAlignment="1">
      <x:alignment horizontal="left"/>
    </x:xf>
    <x:xf numFmtId="0" fontId="2" fillId="0" borderId="2" xfId="5" applyFont="1" applyBorder="1"/>
    <x:xf numFmtId="0" fontId="21" fillId="0" borderId="2" xfId="5" applyFont="1" applyBorder="1"/>
    <x:xf numFmtId="0" fontId="10" fillId="2" borderId="1" xfId="5" applyFont="1" applyFill="1" applyBorder="1" applyAlignment="1">
      <x:alignment vertical="center"/>
    </x:xf>
    <x:xf numFmtId="0" fontId="21" fillId="0" borderId="13" xfId="5" applyFont="1" applyBorder="1" applyAlignment="1">
      <x:alignment horizontal="left" vertical="center"/>
    </x:xf>
    <x:xf numFmtId="0" fontId="21" fillId="0" borderId="14" xfId="5" applyFont="1" applyBorder="1" applyAlignment="1">
      <x:alignment horizontal="left" vertical="center"/>
    </x:xf>
    <x:xf numFmtId="0" fontId="21" fillId="0" borderId="2" xfId="5" applyFont="1" applyBorder="1" applyAlignment="1">
      <x:alignment horizontal="left" vertical="center"/>
    </x:xf>
    <x:xf numFmtId="0" fontId="21" fillId="0" borderId="2" xfId="5" applyFont="1" applyBorder="1" applyAlignment="1">
      <x:alignment horizontal="left"/>
    </x:xf>
    <x:xf numFmtId="0" fontId="10" fillId="0" borderId="0" xfId="5" applyFont="1"/>
    <x:xf numFmtId="0" fontId="6" fillId="0" borderId="0" xfId="5" applyFont="1" applyAlignment="1">
      <x:alignment horizontal="left"/>
    </x:xf>
    <x:xf numFmtId="0" fontId="5" fillId="0" borderId="0" xfId="5" applyFont="1" applyAlignment="1">
      <x:alignment horizontal="left"/>
    </x:xf>
    <x:xf numFmtId="0" fontId="10" fillId="0" borderId="0" xfId="5" applyFont="1" applyAlignment="1">
      <x:alignment horizontal="left"/>
    </x:xf>
    <x:xf numFmtId="164" fontId="7" fillId="3" borderId="3" xfId="5" applyNumberFormat="1" applyFont="1" applyFill="1" applyBorder="1" applyAlignment="1">
      <x:alignment horizontal="center" vertical="center"/>
    </x:xf>
    <x:xf numFmtId="0" fontId="7" fillId="3" borderId="4" xfId="5" applyFont="1" applyFill="1" applyBorder="1" applyAlignment="1">
      <x:alignment horizontal="center" vertical="center"/>
    </x:xf>
    <x:xf numFmtId="0" fontId="7" fillId="3" borderId="5" xfId="5" applyFont="1" applyFill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21" fillId="0" borderId="6" xfId="5" applyFont="1" applyBorder="1" applyAlignment="1">
      <x:alignment vertical="top" wrapText="1"/>
    </x:xf>
    <x:xf numFmtId="49" fontId="2" fillId="0" borderId="7" xfId="5" applyNumberFormat="1" applyFont="1" applyBorder="1" applyAlignment="1">
      <x:alignment vertical="top"/>
    </x:xf>
    <x:xf numFmtId="0" fontId="2" fillId="0" borderId="7" xfId="5" applyFont="1" applyBorder="1" applyAlignment="1">
      <x:alignment vertical="top"/>
    </x:xf>
    <x:xf numFmtId="15" fontId="2" fillId="0" borderId="7" xfId="5" applyNumberFormat="1" applyFont="1" applyBorder="1" applyAlignment="1">
      <x:alignment vertical="top"/>
    </x:xf>
    <x:xf numFmtId="0" fontId="21" fillId="0" borderId="8" xfId="5" applyFont="1" applyBorder="1" applyAlignment="1">
      <x:alignment vertical="top" wrapText="1"/>
    </x:xf>
    <x:xf numFmtId="0" fontId="2" fillId="0" borderId="0" xfId="5" applyFont="1" applyAlignment="1">
      <x:alignment vertical="top"/>
    </x:xf>
    <x:xf numFmtId="164" fontId="2" fillId="0" borderId="6" xfId="5" applyNumberFormat="1" applyFont="1" applyBorder="1" applyAlignment="1">
      <x:alignment vertical="top"/>
    </x:xf>
    <x:xf numFmtId="0" fontId="2" fillId="0" borderId="8" xfId="5" applyFont="1" applyBorder="1" applyAlignment="1">
      <x:alignment vertical="top"/>
    </x:xf>
    <x:xf numFmtId="164" fontId="2" fillId="0" borderId="9" xfId="5" applyNumberFormat="1" applyFont="1" applyBorder="1" applyAlignment="1">
      <x:alignment vertical="top"/>
    </x:xf>
    <x:xf numFmtId="49" fontId="2" fillId="0" borderId="10" xfId="5" applyNumberFormat="1" applyFont="1" applyBorder="1" applyAlignment="1">
      <x:alignment vertical="top"/>
    </x:xf>
    <x:xf numFmtId="0" fontId="2" fillId="0" borderId="10" xfId="5" applyFont="1" applyBorder="1" applyAlignment="1">
      <x:alignment vertical="top"/>
    </x:xf>
    <x:xf numFmtId="0" fontId="2" fillId="0" borderId="11" xfId="5" applyFont="1" applyBorder="1" applyAlignment="1">
      <x:alignment vertical="top"/>
    </x:xf>
    <x:xf numFmtId="0" fontId="2" fillId="0" borderId="0" xfId="5" applyFont="1" applyAlignment="1">
      <x:alignment horizontal="left"/>
    </x:xf>
    <x:xf numFmtId="0" fontId="21" fillId="0" borderId="1" xfId="0" applyNumberFormat="1" applyFont="1" applyFill="1" applyBorder="1" applyAlignment="1">
      <x:alignment horizontal="left" wrapText="1"/>
    </x:xf>
    <x:xf numFmtId="0" fontId="21" fillId="0" borderId="13" xfId="0" applyNumberFormat="1" applyFont="1" applyFill="1" applyBorder="1" applyAlignment="1">
      <x:alignment horizontal="left" vertical="center" wrapText="1"/>
    </x:xf>
    <x:xf numFmtId="0" fontId="21" fillId="0" borderId="14" xfId="0" applyNumberFormat="1" applyFont="1" applyFill="1" applyBorder="1" applyAlignment="1">
      <x:alignment horizontal="left" vertical="center" wrapText="1"/>
    </x:xf>
    <x:xf numFmtId="0" fontId="21" fillId="0" borderId="2" xfId="0" applyNumberFormat="1" applyFont="1" applyFill="1" applyBorder="1" applyAlignment="1">
      <x:alignment horizontal="left" vertical="center" wrapText="1"/>
    </x:xf>
    <x:xf numFmtId="0" fontId="2" fillId="0" borderId="2" xfId="0" applyNumberFormat="1" applyFont="1" applyFill="1" applyBorder="1" applyAlignment="1">
      <x:alignment wrapText="1"/>
    </x:xf>
    <x:xf numFmtId="0" fontId="21" fillId="0" borderId="2" xfId="0" applyNumberFormat="1" applyFont="1" applyFill="1" applyBorder="1" applyAlignment="1">
      <x:alignment wrapText="1"/>
    </x:xf>
    <x:xf numFmtId="0" fontId="21" fillId="0" borderId="2" xfId="0" applyNumberFormat="1" applyFont="1" applyFill="1" applyBorder="1" applyAlignment="1">
      <x:alignment horizontal="left" wrapText="1"/>
    </x:xf>
    <x:xf numFmtId="0" fontId="21" fillId="0" borderId="6" xfId="0" applyNumberFormat="1" applyFont="1" applyFill="1" applyBorder="1" applyAlignment="1">
      <x:alignment vertical="top" wrapText="1"/>
    </x:xf>
    <x:xf numFmtId="49" fontId="2" fillId="0" borderId="7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15" fontId="2" fillId="0" borderId="7" xfId="0" applyNumberFormat="1" applyFont="1" applyFill="1" applyBorder="1" applyAlignment="1">
      <x:alignment vertical="top" wrapText="1"/>
    </x:xf>
    <x:xf numFmtId="0" fontId="21" fillId="0" borderId="8" xfId="0" applyNumberFormat="1" applyFont="1" applyFill="1" applyBorder="1" applyAlignment="1">
      <x:alignment vertical="top" wrapText="1"/>
    </x:xf>
    <x:xf numFmtId="0" fontId="6" fillId="2" borderId="1" xfId="0" applyNumberFormat="1" applyFont="1" applyFill="1" applyBorder="1" applyAlignment="1">
      <x:alignment vertical="top" wrapText="1"/>
    </x:xf>
    <x:xf numFmtId="0" fontId="2" fillId="2" borderId="26" xfId="0" applyNumberFormat="1" applyFont="1" applyFill="1" applyBorder="1" applyAlignment="1">
      <x:alignment horizontal="left" vertical="top" wrapText="1"/>
    </x:xf>
    <x:xf numFmtId="0" fontId="2" fillId="2" borderId="31" xfId="0" applyNumberFormat="1" applyFont="1" applyFill="1" applyBorder="1" applyAlignment="1">
      <x:alignment horizontal="left" vertical="top" wrapText="1"/>
    </x:xf>
    <x:xf numFmtId="0" fontId="7" fillId="7" borderId="26" xfId="0" applyNumberFormat="1" applyFont="1" applyFill="1" applyBorder="1" applyAlignment="1">
      <x:alignment horizontal="center" vertical="center" wrapText="1"/>
    </x:xf>
    <x:xf numFmtId="0" fontId="14" fillId="7" borderId="0" xfId="0" applyNumberFormat="1" applyFont="1" applyFill="1" applyBorder="1"/>
    <x:xf numFmtId="0" fontId="9" fillId="7" borderId="0" xfId="0" applyNumberFormat="1" applyFont="1" applyFill="1" applyBorder="1" applyAlignment="1">
      <x:alignment horizontal="center" vertical="center" wrapText="1"/>
    </x:xf>
    <x:xf numFmtId="0" fontId="24" fillId="7" borderId="26" xfId="0" applyNumberFormat="1" applyFont="1" applyFill="1" applyBorder="1" applyAlignment="1">
      <x:alignment horizontal="center" vertical="center" wrapText="1"/>
    </x:xf>
    <x:xf numFmtId="0" fontId="24" fillId="7" borderId="0" xfId="0" applyNumberFormat="1" applyFont="1" applyFill="1" applyBorder="1"/>
    <x:xf numFmtId="0" fontId="24" fillId="7" borderId="0" xfId="0" applyNumberFormat="1" applyFont="1" applyFill="1" applyBorder="1" applyAlignment="1">
      <x:alignment horizontal="center" vertical="center" wrapText="1"/>
    </x:xf>
    <x:xf numFmtId="0" fontId="24" fillId="7" borderId="0" xfId="0" applyNumberFormat="1" applyFont="1" applyFill="1" applyBorder="1" applyAlignment="1">
      <x:alignment wrapText="1"/>
    </x:xf>
    <x:xf numFmtId="0" fontId="24" fillId="7" borderId="26" xfId="0" applyNumberFormat="1" applyFont="1" applyFill="1" applyBorder="1" applyAlignment="1">
      <x:alignment horizontal="center" vertical="top" wrapText="1"/>
    </x:xf>
    <x:xf numFmtId="0" fontId="24" fillId="7" borderId="0" xfId="0" applyNumberFormat="1" applyFont="1" applyFill="1" applyBorder="1" applyAlignment="1">
      <x:alignment vertical="top" wrapText="1"/>
    </x:xf>
    <x:xf numFmtId="0" fontId="24" fillId="7" borderId="0" xfId="0" applyNumberFormat="1" applyFont="1" applyFill="1" applyBorder="1" applyAlignment="1">
      <x:alignment horizontal="center" vertical="top" wrapText="1"/>
    </x:xf>
    <x:xf numFmtId="0" fontId="2" fillId="8" borderId="1" xfId="0" applyNumberFormat="1" applyFont="1" applyFill="1" applyBorder="1" applyAlignment="1">
      <x:alignment vertical="top" wrapText="1"/>
    </x:xf>
    <x:xf numFmtId="0" fontId="6" fillId="8" borderId="1" xfId="0" applyNumberFormat="1" applyFont="1" applyFill="1" applyBorder="1" applyAlignment="1">
      <x:alignment vertical="top" wrapText="1"/>
    </x:xf>
    <x:xf numFmtId="0" fontId="6" fillId="8" borderId="1" xfId="0" applyNumberFormat="1" applyFont="1" applyFill="1" applyBorder="1" applyAlignment="1">
      <x:alignment horizontal="left" vertical="top" wrapText="1"/>
    </x:xf>
    <x:xf numFmtId="0" fontId="14" fillId="8" borderId="0" xfId="0" applyNumberFormat="1" applyFont="1" applyFill="1" applyBorder="1" applyAlignment="1">
      <x:alignment vertical="top"/>
    </x:xf>
    <x:xf numFmtId="0" fontId="13" fillId="8" borderId="0" xfId="0" applyNumberFormat="1" applyFont="1" applyFill="1" applyBorder="1" applyAlignment="1">
      <x:alignment vertical="top" wrapText="1"/>
    </x:xf>
    <x:xf numFmtId="0" fontId="14" fillId="8" borderId="1" xfId="0" applyNumberFormat="1" applyFont="1" applyFill="1" applyBorder="1" applyAlignment="1">
      <x:alignment horizontal="left" vertical="top" wrapText="1"/>
    </x:xf>
    <x:xf numFmtId="0" fontId="2" fillId="8" borderId="0" xfId="0" applyNumberFormat="1" applyFont="1" applyFill="1" applyBorder="1"/>
    <x:xf numFmtId="0" fontId="10" fillId="8" borderId="23" xfId="0" applyNumberFormat="1" applyFont="1" applyFill="1" applyBorder="1" applyAlignment="1">
      <x:alignment horizontal="left" vertical="center"/>
    </x:xf>
    <x:xf numFmtId="0" fontId="10" fillId="8" borderId="13" xfId="0" applyNumberFormat="1" applyFont="1" applyFill="1" applyBorder="1" applyAlignment="1">
      <x:alignment horizontal="left" vertical="center"/>
    </x:xf>
    <x:xf numFmtId="0" fontId="10" fillId="8" borderId="14" xfId="0" applyNumberFormat="1" applyFont="1" applyFill="1" applyBorder="1" applyAlignment="1">
      <x:alignment horizontal="left" vertical="center"/>
    </x:xf>
    <x:xf numFmtId="0" fontId="10" fillId="8" borderId="2" xfId="0" applyNumberFormat="1" applyFont="1" applyFill="1" applyBorder="1" applyAlignment="1">
      <x:alignment horizontal="left" vertical="center"/>
    </x:xf>
    <x:xf numFmtId="0" fontId="14" fillId="8" borderId="0" xfId="0" applyNumberFormat="1" applyFont="1" applyFill="1" applyBorder="1"/>
    <x:xf numFmtId="0" fontId="9" fillId="8" borderId="0" xfId="0" applyNumberFormat="1" applyFont="1" applyFill="1" applyBorder="1" applyAlignment="1">
      <x:alignment horizontal="left" vertical="center"/>
    </x:xf>
    <x:xf numFmtId="0" fontId="2" fillId="8" borderId="1" xfId="0" applyNumberFormat="1" applyFont="1" applyFill="1" applyBorder="1"/>
    <x:xf numFmtId="0" fontId="13" fillId="8" borderId="0" xfId="0" applyNumberFormat="1" applyFont="1" applyFill="1" applyBorder="1"/>
    <x:xf numFmtId="0" fontId="25" fillId="8" borderId="1" xfId="0" applyNumberFormat="1" applyFont="1" applyFill="1" applyBorder="1" applyAlignment="1">
      <x:alignment vertical="top" wrapText="1"/>
    </x:xf>
    <x:xf numFmtId="0" fontId="26" fillId="8" borderId="1" xfId="0" applyNumberFormat="1" applyFont="1" applyFill="1" applyBorder="1" applyAlignment="1">
      <x:alignment vertical="top" wrapText="1"/>
    </x:xf>
    <x:xf numFmtId="0" fontId="26" fillId="8" borderId="1" xfId="0" applyNumberFormat="1" applyFont="1" applyFill="1" applyBorder="1" applyAlignment="1">
      <x:alignment horizontal="left" vertical="top" wrapText="1"/>
    </x:xf>
    <x:xf numFmtId="0" fontId="25" fillId="8" borderId="0" xfId="0" applyNumberFormat="1" applyFont="1" applyFill="1" applyBorder="1" applyAlignment="1">
      <x:alignment vertical="top"/>
    </x:xf>
    <x:xf numFmtId="0" fontId="25" fillId="8" borderId="0" xfId="0" applyNumberFormat="1" applyFont="1" applyFill="1" applyBorder="1" applyAlignment="1">
      <x:alignment vertical="top" wrapText="1"/>
    </x:xf>
    <x:xf numFmtId="0" fontId="25" fillId="8" borderId="1" xfId="0" applyNumberFormat="1" applyFont="1" applyFill="1" applyBorder="1" applyAlignment="1">
      <x:alignment horizontal="left" vertical="top" wrapText="1"/>
    </x:xf>
    <x:xf numFmtId="0" fontId="25" fillId="8" borderId="0" xfId="0" applyNumberFormat="1" applyFont="1" applyFill="1" applyBorder="1"/>
    <x:xf numFmtId="0" fontId="25" fillId="8" borderId="23" xfId="0" applyNumberFormat="1" applyFont="1" applyFill="1" applyBorder="1" applyAlignment="1">
      <x:alignment horizontal="left" vertical="center"/>
    </x:xf>
    <x:xf numFmtId="0" fontId="25" fillId="8" borderId="13" xfId="0" applyNumberFormat="1" applyFont="1" applyFill="1" applyBorder="1" applyAlignment="1">
      <x:alignment horizontal="left" vertical="center"/>
    </x:xf>
    <x:xf numFmtId="0" fontId="25" fillId="8" borderId="14" xfId="0" applyNumberFormat="1" applyFont="1" applyFill="1" applyBorder="1" applyAlignment="1">
      <x:alignment horizontal="left" vertical="center"/>
    </x:xf>
    <x:xf numFmtId="0" fontId="25" fillId="8" borderId="2" xfId="0" applyNumberFormat="1" applyFont="1" applyFill="1" applyBorder="1" applyAlignment="1">
      <x:alignment horizontal="left" vertical="center"/>
    </x:xf>
    <x:xf numFmtId="0" fontId="25" fillId="8" borderId="0" xfId="0" applyNumberFormat="1" applyFont="1" applyFill="1" applyBorder="1" applyAlignment="1">
      <x:alignment horizontal="left" vertical="center"/>
    </x:xf>
    <x:xf numFmtId="0" fontId="25" fillId="8" borderId="1" xfId="0" applyNumberFormat="1" applyFont="1" applyFill="1" applyBorder="1"/>
    <x:xf numFmtId="0" fontId="25" fillId="8" borderId="0" xfId="0" applyNumberFormat="1" applyFont="1" applyFill="1" applyBorder="1" applyAlignment="1">
      <x:alignment wrapText="1"/>
    </x:xf>
    <x:xf numFmtId="0" fontId="25" fillId="8" borderId="23" xfId="0" applyNumberFormat="1" applyFont="1" applyFill="1" applyBorder="1" applyAlignment="1">
      <x:alignment horizontal="left" vertical="center" wrapText="1"/>
    </x:xf>
    <x:xf numFmtId="0" fontId="25" fillId="8" borderId="13" xfId="0" applyNumberFormat="1" applyFont="1" applyFill="1" applyBorder="1" applyAlignment="1">
      <x:alignment horizontal="left" vertical="center" wrapText="1"/>
    </x:xf>
    <x:xf numFmtId="0" fontId="25" fillId="8" borderId="14" xfId="0" applyNumberFormat="1" applyFont="1" applyFill="1" applyBorder="1" applyAlignment="1">
      <x:alignment horizontal="left" vertical="center" wrapText="1"/>
    </x:xf>
    <x:xf numFmtId="0" fontId="25" fillId="8" borderId="2" xfId="0" applyNumberFormat="1" applyFont="1" applyFill="1" applyBorder="1" applyAlignment="1">
      <x:alignment horizontal="left" vertical="center" wrapText="1"/>
    </x:xf>
    <x:xf numFmtId="0" fontId="25" fillId="8" borderId="0" xfId="0" applyNumberFormat="1" applyFont="1" applyFill="1" applyBorder="1" applyAlignment="1">
      <x:alignment horizontal="left" vertical="center" wrapText="1"/>
    </x:xf>
    <x:xf numFmtId="0" fontId="25" fillId="8" borderId="1" xfId="0" applyNumberFormat="1" applyFont="1" applyFill="1" applyBorder="1" applyAlignment="1">
      <x:alignment wrapText="1"/>
    </x:xf>
    <x:xf numFmtId="0" fontId="25" fillId="8" borderId="23" xfId="0" applyNumberFormat="1" applyFont="1" applyFill="1" applyBorder="1" applyAlignment="1">
      <x:alignment horizontal="left" vertical="top" wrapText="1"/>
    </x:xf>
    <x:xf numFmtId="0" fontId="25" fillId="8" borderId="13" xfId="0" applyNumberFormat="1" applyFont="1" applyFill="1" applyBorder="1" applyAlignment="1">
      <x:alignment horizontal="left" vertical="top" wrapText="1"/>
    </x:xf>
    <x:xf numFmtId="0" fontId="25" fillId="8" borderId="14" xfId="0" applyNumberFormat="1" applyFont="1" applyFill="1" applyBorder="1" applyAlignment="1">
      <x:alignment horizontal="left" vertical="top" wrapText="1"/>
    </x:xf>
    <x:xf numFmtId="0" fontId="25" fillId="8" borderId="2" xfId="0" applyNumberFormat="1" applyFont="1" applyFill="1" applyBorder="1" applyAlignment="1">
      <x:alignment horizontal="left" vertical="top" wrapText="1"/>
    </x:xf>
    <x:xf numFmtId="0" fontId="25" fillId="8" borderId="0" xfId="0" applyNumberFormat="1" applyFont="1" applyFill="1" applyBorder="1" applyAlignment="1">
      <x:alignment horizontal="left" vertical="top" wrapText="1"/>
    </x:xf>
    <x:xf numFmtId="0" fontId="0" fillId="7" borderId="0" xfId="0" applyNumberFormat="1" applyFont="1" applyFill="1" applyBorder="1"/>
    <x:xf numFmtId="0" fontId="27" fillId="7" borderId="0" xfId="0" applyNumberFormat="1" applyFont="1" applyFill="1" applyBorder="1"/>
    <x:xf numFmtId="0" fontId="27" fillId="7" borderId="0" xfId="0" applyNumberFormat="1" applyFont="1" applyFill="1" applyBorder="1" applyAlignment="1">
      <x:alignment wrapText="1"/>
    </x:xf>
    <x:xf numFmtId="0" fontId="27" fillId="7" borderId="0" xfId="0" applyNumberFormat="1" applyFont="1" applyFill="1" applyBorder="1" applyAlignment="1">
      <x:alignment vertical="top" wrapText="1"/>
    </x:xf>
    <x:xf numFmtId="200" fontId="2" fillId="2" borderId="0" xfId="0" applyNumberFormat="1" applyFont="1" applyFill="1" applyBorder="1"/>
    <x:xf numFmtId="0" fontId="0" fillId="8" borderId="0" xfId="0" applyNumberFormat="1" applyFont="1" applyFill="1" applyBorder="1"/>
    <x:xf numFmtId="0" fontId="28" fillId="8" borderId="0" xfId="0" applyNumberFormat="1" applyFont="1" applyFill="1" applyBorder="1"/>
    <x:xf numFmtId="0" fontId="28" fillId="8" borderId="0" xfId="0" applyNumberFormat="1" applyFont="1" applyFill="1" applyBorder="1" applyAlignment="1">
      <x:alignment wrapText="1"/>
    </x:xf>
    <x:xf numFmtId="0" fontId="28" fillId="8" borderId="0" xfId="0" applyNumberFormat="1" applyFont="1" applyFill="1" applyBorder="1" applyAlignment="1">
      <x:alignment vertical="top" wrapText="1"/>
    </x:xf>
    <x:xf numFmtId="0" fontId="27" fillId="7" borderId="35" xfId="0" applyNumberFormat="1" applyFont="1" applyFill="1" applyBorder="1" applyAlignment="1">
      <x:alignment vertical="top" wrapText="1"/>
    </x:xf>
    <x:xf numFmtId="0" fontId="28" fillId="8" borderId="35" xfId="0" applyNumberFormat="1" applyFont="1" applyFill="1" applyBorder="1" applyAlignment="1">
      <x:alignment vertical="top" wrapText="1"/>
    </x:xf>
    <x:xf numFmtId="0" fontId="25" fillId="8" borderId="35" xfId="0" applyNumberFormat="1" applyFont="1" applyFill="1" applyBorder="1" applyAlignment="1">
      <x:alignment vertical="top" wrapText="1"/>
    </x:xf>
    <x:xf numFmtId="0" fontId="27" fillId="7" borderId="35" xfId="0" applyNumberFormat="1" applyFont="1" applyFill="1" applyBorder="1" applyAlignment="1">
      <x:alignment vertical="center" wrapText="1"/>
    </x:xf>
    <x:xf numFmtId="0" fontId="28" fillId="8" borderId="35" xfId="0" applyNumberFormat="1" applyFont="1" applyFill="1" applyBorder="1" applyAlignment="1">
      <x:alignment vertical="center" wrapText="1"/>
    </x:xf>
    <x:xf numFmtId="0" fontId="25" fillId="8" borderId="35" xfId="0" applyNumberFormat="1" applyFont="1" applyFill="1" applyBorder="1" applyAlignment="1">
      <x:alignment vertical="center" wrapText="1"/>
    </x:xf>
    <x:xf numFmtId="0" fontId="28" fillId="8" borderId="35" xfId="0" applyNumberFormat="1" applyFont="1" applyFill="1" applyBorder="1" applyAlignment="1">
      <x:alignment horizontal="center" vertical="center" wrapText="1"/>
    </x:xf>
    <x:xf numFmtId="0" fontId="25" fillId="8" borderId="35" xfId="0" applyNumberFormat="1" applyFont="1" applyFill="1" applyBorder="1" applyAlignment="1">
      <x:alignment horizontal="center" vertical="center" wrapText="1"/>
    </x:xf>
    <x:xf numFmtId="0" fontId="25" fillId="7" borderId="35" xfId="0" applyNumberFormat="1" applyFont="1" applyFill="1" applyBorder="1" applyAlignment="1">
      <x:alignment horizontal="center" vertical="center" wrapText="1"/>
    </x:xf>
    <x:xf numFmtId="0" fontId="25" fillId="7" borderId="35" xfId="0" applyNumberFormat="1" applyFont="1" applyFill="1" applyBorder="1" applyAlignment="1">
      <x:alignment vertical="center" wrapText="1"/>
    </x:xf>
    <x:xf numFmtId="0" fontId="24" fillId="7" borderId="35" xfId="0" applyNumberFormat="1" applyFont="1" applyFill="1" applyBorder="1" applyAlignment="1">
      <x:alignment horizontal="center" vertical="center" wrapText="1"/>
    </x:xf>
    <x:xf numFmtId="0" fontId="24" fillId="7" borderId="35" xfId="0" applyNumberFormat="1" applyFont="1" applyFill="1" applyBorder="1" applyAlignment="1">
      <x:alignment vertical="center" wrapText="1"/>
    </x:xf>
    <x:xf numFmtId="0" fontId="24" fillId="7" borderId="35" xfId="0" applyNumberFormat="1" applyFont="1" applyFill="1" applyBorder="1" applyAlignment="1">
      <x:alignment horizontal="center" vertical="top" wrapText="1"/>
    </x:xf>
    <x:xf numFmtId="0" fontId="24" fillId="7" borderId="35" xfId="0" applyNumberFormat="1" applyFont="1" applyFill="1" applyBorder="1" applyAlignment="1">
      <x:alignment vertical="top" wrapText="1"/>
    </x:xf>
    <x:xf numFmtId="201" fontId="2" fillId="2" borderId="0" xfId="0" applyNumberFormat="1" applyFont="1" applyFill="1" applyBorder="1"/>
    <x:xf numFmtId="202" fontId="28" fillId="8" borderId="35" xfId="0" applyNumberFormat="1" applyFont="1" applyFill="1" applyBorder="1" applyAlignment="1">
      <x:alignment horizontal="center" vertical="center" wrapText="1"/>
    </x:xf>
    <x:xf numFmtId="202" fontId="25" fillId="8" borderId="35" xfId="0" applyNumberFormat="1" applyFont="1" applyFill="1" applyBorder="1" applyAlignment="1">
      <x:alignment horizontal="center" vertical="center" wrapText="1"/>
    </x:xf>
    <x:xf numFmtId="202" fontId="24" fillId="7" borderId="35" xfId="0" applyNumberFormat="1" applyFont="1" applyFill="1" applyBorder="1" applyAlignment="1">
      <x:alignment horizontal="center" vertical="top" wrapText="1"/>
    </x:xf>
    <x:xf numFmtId="0" fontId="29" fillId="0" borderId="0" xfId="0" applyNumberFormat="1" applyFont="1" applyFill="1" applyBorder="1"/>
    <x:xf numFmtId="203" fontId="28" fillId="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6">
    <x:cellStyle name="Hyperlink" xfId="1"/>
    <x:cellStyle name="Normal" xfId="0"/>
    <x:cellStyle name="Normal_Functional Test Case v1.0" xfId="2"/>
    <x:cellStyle name="Normal_Sheet1" xfId="3"/>
    <x:cellStyle name="Normal_Template_UnitTest Case_v0.9" xfId="5"/>
    <x:cellStyle name="標準_結合試験(AllOvertheWorld)" xfId="4"/>
  </x:cellStyles>
  <x:dxfs count="18"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68c7444c274840" /><Relationship Type="http://schemas.openxmlformats.org/officeDocument/2006/relationships/theme" Target="/xl/theme/theme1.xml" Id="Ra072b63d41ee4832" /><Relationship Type="http://schemas.openxmlformats.org/officeDocument/2006/relationships/sharedStrings" Target="/xl/sharedStrings.xml" Id="Rb70299d26a554a17" /><Relationship Type="http://schemas.openxmlformats.org/officeDocument/2006/relationships/worksheet" Target="/xl/worksheets/sheet1.xml" Id="Rc2ebfc00217f40dc" /><Relationship Type="http://schemas.openxmlformats.org/officeDocument/2006/relationships/worksheet" Target="/xl/worksheets/sheet2.xml" Id="Rbffc5b70e36c4223" /><Relationship Type="http://schemas.openxmlformats.org/officeDocument/2006/relationships/worksheet" Target="/xl/worksheets/sheet3.xml" Id="Ra08598166b0242be" /><Relationship Type="http://schemas.openxmlformats.org/officeDocument/2006/relationships/worksheet" Target="/xl/worksheets/sheet4.xml" Id="R56b57c28832e479b" /><Relationship Type="http://schemas.openxmlformats.org/officeDocument/2006/relationships/worksheet" Target="/xl/worksheets/sheet5.xml" Id="Rd42b0fca5f0c4743" /><Relationship Type="http://schemas.openxmlformats.org/officeDocument/2006/relationships/worksheet" Target="/xl/worksheets/sheet6.xml" Id="R8dfb8456e9104da1" /><Relationship Type="http://schemas.openxmlformats.org/officeDocument/2006/relationships/worksheet" Target="/xl/worksheets/sheet7.xml" Id="R77fb8a24f336436f" /><Relationship Type="http://schemas.openxmlformats.org/officeDocument/2006/relationships/worksheet" Target="/xl/worksheets/sheet8.xml" Id="R2e8967c5f95b40f3" /><Relationship Type="http://schemas.openxmlformats.org/officeDocument/2006/relationships/worksheet" Target="/xl/worksheets/sheet9.xml" Id="Rf3475ce5b8cf463f" /><Relationship Type="http://schemas.openxmlformats.org/officeDocument/2006/relationships/worksheet" Target="/xl/worksheets/sheet10.xml" Id="R2fc3638f2ec547d6" /><Relationship Type="http://schemas.openxmlformats.org/officeDocument/2006/relationships/worksheet" Target="/xl/worksheets/sheet11.xml" Id="R3d966e92779848f1" /><Relationship Type="http://schemas.openxmlformats.org/officeDocument/2006/relationships/worksheet" Target="/xl/worksheets/sheet12.xml" Id="Rbf97be1ee6304d8f" /><Relationship Type="http://schemas.microsoft.com/office/2017/10/relationships/person" Target="/xl/persons/person.xml" Id="R1745f246d51b419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8c10d86384c24a84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1</xdr:row>
      <xdr:rowOff>88900</xdr:rowOff>
    </xdr:from>
    <xdr:to>
      <xdr:col>0</xdr:col>
      <xdr:colOff>2133600</xdr:colOff>
      <xdr:row>1</xdr:row>
      <xdr:rowOff>787400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10d86384c24a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persons/person.xml><?xml version="1.0" encoding="utf-8"?>
<xltc:personList xmlns:xltc="http://schemas.microsoft.com/office/spreadsheetml/2018/threadedcomments">
  <xltc:person displayName="tqsang" id="{B9F3866B-2C10-8123-30AE-8C650C9A3244}"/>
  <xltc:person displayName="tqsang" id="{77CFF65A-AC2E-ABE8-1CE0-54171345D831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</a:ln>
      </a:spPr>
      <a:bodyPr wrap="square" lIns="18288" tIns="0" rIns="0" bIns="0"/>
      <a:lstStyle/>
    </a:spDef>
    <a:ln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</a:ln>
      </a:spPr>
      <a:bodyPr wrap="square" lIns="18288" tIns="0" rIns="0" bIns="0"/>
      <a:lstStyle/>
    </a:lnDef>
  </a:objectDefaul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dad0bd2ef6304e13" /><Relationship Type="http://schemas.openxmlformats.org/officeDocument/2006/relationships/vmlDrawing" Target="/xl/drawings/vmldrawing.vml" Id="R82ccb772ce364c40" /><Relationship Type="http://schemas.openxmlformats.org/officeDocument/2006/relationships/drawing" Target="/xl/drawings/drawing1.xml" Id="R8efc3d6841d247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2.xml" Id="Raa82dde4dee24c41" /><Relationship Type="http://schemas.openxmlformats.org/officeDocument/2006/relationships/vmlDrawing" Target="/xl/drawings/vmldrawing2.vml" Id="R1ad7fac3f0ea46b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3.xml" Id="R7849e4cde3df4959" /><Relationship Type="http://schemas.openxmlformats.org/officeDocument/2006/relationships/vmlDrawing" Target="/xl/drawings/vmldrawing3.vml" Id="R5ae5ff46b071410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9" defaultRowHeight="13"/>
  <x:cols>
    <x:col min="1" max="1" width="28.1640625" style="149" customWidth="1"/>
    <x:col min="2" max="2" width="10" style="118" customWidth="1"/>
    <x:col min="3" max="3" width="14.33203125" style="118" customWidth="1"/>
    <x:col min="4" max="4" width="8" style="118" customWidth="1"/>
    <x:col min="5" max="5" width="38" style="118" customWidth="1"/>
    <x:col min="6" max="6" width="48.1640625" style="118" customWidth="1"/>
    <x:col min="7" max="256" width="9" style="118" customWidth="0"/>
    <x:col min="257" max="257" width="28.1640625" style="118" customWidth="1"/>
    <x:col min="258" max="258" width="10" style="118" customWidth="1"/>
    <x:col min="259" max="259" width="14.33203125" style="118" customWidth="1"/>
    <x:col min="260" max="260" width="8" style="118" customWidth="1"/>
    <x:col min="261" max="261" width="38" style="118" customWidth="1"/>
    <x:col min="262" max="262" width="48.1640625" style="118" customWidth="1"/>
    <x:col min="263" max="512" width="9" style="118" customWidth="0"/>
    <x:col min="513" max="513" width="28.1640625" style="118" customWidth="1"/>
    <x:col min="514" max="514" width="10" style="118" customWidth="1"/>
    <x:col min="515" max="515" width="14.33203125" style="118" customWidth="1"/>
    <x:col min="516" max="516" width="8" style="118" customWidth="1"/>
    <x:col min="517" max="517" width="38" style="118" customWidth="1"/>
    <x:col min="518" max="518" width="48.1640625" style="118" customWidth="1"/>
    <x:col min="519" max="768" width="9" style="118" customWidth="0"/>
    <x:col min="769" max="769" width="28.1640625" style="118" customWidth="1"/>
    <x:col min="770" max="770" width="10" style="118" customWidth="1"/>
    <x:col min="771" max="771" width="14.33203125" style="118" customWidth="1"/>
    <x:col min="772" max="772" width="8" style="118" customWidth="1"/>
    <x:col min="773" max="773" width="38" style="118" customWidth="1"/>
    <x:col min="774" max="774" width="48.1640625" style="118" customWidth="1"/>
    <x:col min="775" max="1024" width="9" style="118" customWidth="0"/>
    <x:col min="1025" max="1025" width="28.1640625" style="118" customWidth="1"/>
    <x:col min="1026" max="1026" width="10" style="118" customWidth="1"/>
    <x:col min="1027" max="1027" width="14.33203125" style="118" customWidth="1"/>
    <x:col min="1028" max="1028" width="8" style="118" customWidth="1"/>
    <x:col min="1029" max="1029" width="38" style="118" customWidth="1"/>
    <x:col min="1030" max="1030" width="48.1640625" style="118" customWidth="1"/>
    <x:col min="1031" max="1280" width="9" style="118" customWidth="0"/>
    <x:col min="1281" max="1281" width="28.1640625" style="118" customWidth="1"/>
    <x:col min="1282" max="1282" width="10" style="118" customWidth="1"/>
    <x:col min="1283" max="1283" width="14.33203125" style="118" customWidth="1"/>
    <x:col min="1284" max="1284" width="8" style="118" customWidth="1"/>
    <x:col min="1285" max="1285" width="38" style="118" customWidth="1"/>
    <x:col min="1286" max="1286" width="48.1640625" style="118" customWidth="1"/>
    <x:col min="1287" max="1536" width="9" style="118" customWidth="0"/>
    <x:col min="1537" max="1537" width="28.1640625" style="118" customWidth="1"/>
    <x:col min="1538" max="1538" width="10" style="118" customWidth="1"/>
    <x:col min="1539" max="1539" width="14.33203125" style="118" customWidth="1"/>
    <x:col min="1540" max="1540" width="8" style="118" customWidth="1"/>
    <x:col min="1541" max="1541" width="38" style="118" customWidth="1"/>
    <x:col min="1542" max="1542" width="48.1640625" style="118" customWidth="1"/>
    <x:col min="1543" max="1792" width="9" style="118" customWidth="0"/>
    <x:col min="1793" max="1793" width="28.1640625" style="118" customWidth="1"/>
    <x:col min="1794" max="1794" width="10" style="118" customWidth="1"/>
    <x:col min="1795" max="1795" width="14.33203125" style="118" customWidth="1"/>
    <x:col min="1796" max="1796" width="8" style="118" customWidth="1"/>
    <x:col min="1797" max="1797" width="38" style="118" customWidth="1"/>
    <x:col min="1798" max="1798" width="48.1640625" style="118" customWidth="1"/>
    <x:col min="1799" max="2048" width="9" style="118" customWidth="0"/>
    <x:col min="2049" max="2049" width="28.1640625" style="118" customWidth="1"/>
    <x:col min="2050" max="2050" width="10" style="118" customWidth="1"/>
    <x:col min="2051" max="2051" width="14.33203125" style="118" customWidth="1"/>
    <x:col min="2052" max="2052" width="8" style="118" customWidth="1"/>
    <x:col min="2053" max="2053" width="38" style="118" customWidth="1"/>
    <x:col min="2054" max="2054" width="48.1640625" style="118" customWidth="1"/>
    <x:col min="2055" max="2304" width="9" style="118" customWidth="0"/>
    <x:col min="2305" max="2305" width="28.1640625" style="118" customWidth="1"/>
    <x:col min="2306" max="2306" width="10" style="118" customWidth="1"/>
    <x:col min="2307" max="2307" width="14.33203125" style="118" customWidth="1"/>
    <x:col min="2308" max="2308" width="8" style="118" customWidth="1"/>
    <x:col min="2309" max="2309" width="38" style="118" customWidth="1"/>
    <x:col min="2310" max="2310" width="48.1640625" style="118" customWidth="1"/>
    <x:col min="2311" max="2560" width="9" style="118" customWidth="0"/>
    <x:col min="2561" max="2561" width="28.1640625" style="118" customWidth="1"/>
    <x:col min="2562" max="2562" width="10" style="118" customWidth="1"/>
    <x:col min="2563" max="2563" width="14.33203125" style="118" customWidth="1"/>
    <x:col min="2564" max="2564" width="8" style="118" customWidth="1"/>
    <x:col min="2565" max="2565" width="38" style="118" customWidth="1"/>
    <x:col min="2566" max="2566" width="48.1640625" style="118" customWidth="1"/>
    <x:col min="2567" max="2816" width="9" style="118" customWidth="0"/>
    <x:col min="2817" max="2817" width="28.1640625" style="118" customWidth="1"/>
    <x:col min="2818" max="2818" width="10" style="118" customWidth="1"/>
    <x:col min="2819" max="2819" width="14.33203125" style="118" customWidth="1"/>
    <x:col min="2820" max="2820" width="8" style="118" customWidth="1"/>
    <x:col min="2821" max="2821" width="38" style="118" customWidth="1"/>
    <x:col min="2822" max="2822" width="48.1640625" style="118" customWidth="1"/>
    <x:col min="2823" max="3072" width="9" style="118" customWidth="0"/>
    <x:col min="3073" max="3073" width="28.1640625" style="118" customWidth="1"/>
    <x:col min="3074" max="3074" width="10" style="118" customWidth="1"/>
    <x:col min="3075" max="3075" width="14.33203125" style="118" customWidth="1"/>
    <x:col min="3076" max="3076" width="8" style="118" customWidth="1"/>
    <x:col min="3077" max="3077" width="38" style="118" customWidth="1"/>
    <x:col min="3078" max="3078" width="48.1640625" style="118" customWidth="1"/>
    <x:col min="3079" max="3328" width="9" style="118" customWidth="0"/>
    <x:col min="3329" max="3329" width="28.1640625" style="118" customWidth="1"/>
    <x:col min="3330" max="3330" width="10" style="118" customWidth="1"/>
    <x:col min="3331" max="3331" width="14.33203125" style="118" customWidth="1"/>
    <x:col min="3332" max="3332" width="8" style="118" customWidth="1"/>
    <x:col min="3333" max="3333" width="38" style="118" customWidth="1"/>
    <x:col min="3334" max="3334" width="48.1640625" style="118" customWidth="1"/>
    <x:col min="3335" max="3584" width="9" style="118" customWidth="0"/>
    <x:col min="3585" max="3585" width="28.1640625" style="118" customWidth="1"/>
    <x:col min="3586" max="3586" width="10" style="118" customWidth="1"/>
    <x:col min="3587" max="3587" width="14.33203125" style="118" customWidth="1"/>
    <x:col min="3588" max="3588" width="8" style="118" customWidth="1"/>
    <x:col min="3589" max="3589" width="38" style="118" customWidth="1"/>
    <x:col min="3590" max="3590" width="48.1640625" style="118" customWidth="1"/>
    <x:col min="3591" max="3840" width="9" style="118" customWidth="0"/>
    <x:col min="3841" max="3841" width="28.1640625" style="118" customWidth="1"/>
    <x:col min="3842" max="3842" width="10" style="118" customWidth="1"/>
    <x:col min="3843" max="3843" width="14.33203125" style="118" customWidth="1"/>
    <x:col min="3844" max="3844" width="8" style="118" customWidth="1"/>
    <x:col min="3845" max="3845" width="38" style="118" customWidth="1"/>
    <x:col min="3846" max="3846" width="48.1640625" style="118" customWidth="1"/>
    <x:col min="3847" max="4096" width="9" style="118" customWidth="0"/>
    <x:col min="4097" max="4097" width="28.1640625" style="118" customWidth="1"/>
    <x:col min="4098" max="4098" width="10" style="118" customWidth="1"/>
    <x:col min="4099" max="4099" width="14.33203125" style="118" customWidth="1"/>
    <x:col min="4100" max="4100" width="8" style="118" customWidth="1"/>
    <x:col min="4101" max="4101" width="38" style="118" customWidth="1"/>
    <x:col min="4102" max="4102" width="48.1640625" style="118" customWidth="1"/>
    <x:col min="4103" max="4352" width="9" style="118" customWidth="0"/>
    <x:col min="4353" max="4353" width="28.1640625" style="118" customWidth="1"/>
    <x:col min="4354" max="4354" width="10" style="118" customWidth="1"/>
    <x:col min="4355" max="4355" width="14.33203125" style="118" customWidth="1"/>
    <x:col min="4356" max="4356" width="8" style="118" customWidth="1"/>
    <x:col min="4357" max="4357" width="38" style="118" customWidth="1"/>
    <x:col min="4358" max="4358" width="48.1640625" style="118" customWidth="1"/>
    <x:col min="4359" max="4608" width="9" style="118" customWidth="0"/>
    <x:col min="4609" max="4609" width="28.1640625" style="118" customWidth="1"/>
    <x:col min="4610" max="4610" width="10" style="118" customWidth="1"/>
    <x:col min="4611" max="4611" width="14.33203125" style="118" customWidth="1"/>
    <x:col min="4612" max="4612" width="8" style="118" customWidth="1"/>
    <x:col min="4613" max="4613" width="38" style="118" customWidth="1"/>
    <x:col min="4614" max="4614" width="48.1640625" style="118" customWidth="1"/>
    <x:col min="4615" max="4864" width="9" style="118" customWidth="0"/>
    <x:col min="4865" max="4865" width="28.1640625" style="118" customWidth="1"/>
    <x:col min="4866" max="4866" width="10" style="118" customWidth="1"/>
    <x:col min="4867" max="4867" width="14.33203125" style="118" customWidth="1"/>
    <x:col min="4868" max="4868" width="8" style="118" customWidth="1"/>
    <x:col min="4869" max="4869" width="38" style="118" customWidth="1"/>
    <x:col min="4870" max="4870" width="48.1640625" style="118" customWidth="1"/>
    <x:col min="4871" max="5120" width="9" style="118" customWidth="0"/>
    <x:col min="5121" max="5121" width="28.1640625" style="118" customWidth="1"/>
    <x:col min="5122" max="5122" width="10" style="118" customWidth="1"/>
    <x:col min="5123" max="5123" width="14.33203125" style="118" customWidth="1"/>
    <x:col min="5124" max="5124" width="8" style="118" customWidth="1"/>
    <x:col min="5125" max="5125" width="38" style="118" customWidth="1"/>
    <x:col min="5126" max="5126" width="48.1640625" style="118" customWidth="1"/>
    <x:col min="5127" max="5376" width="9" style="118" customWidth="0"/>
    <x:col min="5377" max="5377" width="28.1640625" style="118" customWidth="1"/>
    <x:col min="5378" max="5378" width="10" style="118" customWidth="1"/>
    <x:col min="5379" max="5379" width="14.33203125" style="118" customWidth="1"/>
    <x:col min="5380" max="5380" width="8" style="118" customWidth="1"/>
    <x:col min="5381" max="5381" width="38" style="118" customWidth="1"/>
    <x:col min="5382" max="5382" width="48.1640625" style="118" customWidth="1"/>
    <x:col min="5383" max="5632" width="9" style="118" customWidth="0"/>
    <x:col min="5633" max="5633" width="28.1640625" style="118" customWidth="1"/>
    <x:col min="5634" max="5634" width="10" style="118" customWidth="1"/>
    <x:col min="5635" max="5635" width="14.33203125" style="118" customWidth="1"/>
    <x:col min="5636" max="5636" width="8" style="118" customWidth="1"/>
    <x:col min="5637" max="5637" width="38" style="118" customWidth="1"/>
    <x:col min="5638" max="5638" width="48.1640625" style="118" customWidth="1"/>
    <x:col min="5639" max="5888" width="9" style="118" customWidth="0"/>
    <x:col min="5889" max="5889" width="28.1640625" style="118" customWidth="1"/>
    <x:col min="5890" max="5890" width="10" style="118" customWidth="1"/>
    <x:col min="5891" max="5891" width="14.33203125" style="118" customWidth="1"/>
    <x:col min="5892" max="5892" width="8" style="118" customWidth="1"/>
    <x:col min="5893" max="5893" width="38" style="118" customWidth="1"/>
    <x:col min="5894" max="5894" width="48.1640625" style="118" customWidth="1"/>
    <x:col min="5895" max="6144" width="9" style="118" customWidth="0"/>
    <x:col min="6145" max="6145" width="28.1640625" style="118" customWidth="1"/>
    <x:col min="6146" max="6146" width="10" style="118" customWidth="1"/>
    <x:col min="6147" max="6147" width="14.33203125" style="118" customWidth="1"/>
    <x:col min="6148" max="6148" width="8" style="118" customWidth="1"/>
    <x:col min="6149" max="6149" width="38" style="118" customWidth="1"/>
    <x:col min="6150" max="6150" width="48.1640625" style="118" customWidth="1"/>
    <x:col min="6151" max="6400" width="9" style="118" customWidth="0"/>
    <x:col min="6401" max="6401" width="28.1640625" style="118" customWidth="1"/>
    <x:col min="6402" max="6402" width="10" style="118" customWidth="1"/>
    <x:col min="6403" max="6403" width="14.33203125" style="118" customWidth="1"/>
    <x:col min="6404" max="6404" width="8" style="118" customWidth="1"/>
    <x:col min="6405" max="6405" width="38" style="118" customWidth="1"/>
    <x:col min="6406" max="6406" width="48.1640625" style="118" customWidth="1"/>
    <x:col min="6407" max="6656" width="9" style="118" customWidth="0"/>
    <x:col min="6657" max="6657" width="28.1640625" style="118" customWidth="1"/>
    <x:col min="6658" max="6658" width="10" style="118" customWidth="1"/>
    <x:col min="6659" max="6659" width="14.33203125" style="118" customWidth="1"/>
    <x:col min="6660" max="6660" width="8" style="118" customWidth="1"/>
    <x:col min="6661" max="6661" width="38" style="118" customWidth="1"/>
    <x:col min="6662" max="6662" width="48.1640625" style="118" customWidth="1"/>
    <x:col min="6663" max="6912" width="9" style="118" customWidth="0"/>
    <x:col min="6913" max="6913" width="28.1640625" style="118" customWidth="1"/>
    <x:col min="6914" max="6914" width="10" style="118" customWidth="1"/>
    <x:col min="6915" max="6915" width="14.33203125" style="118" customWidth="1"/>
    <x:col min="6916" max="6916" width="8" style="118" customWidth="1"/>
    <x:col min="6917" max="6917" width="38" style="118" customWidth="1"/>
    <x:col min="6918" max="6918" width="48.1640625" style="118" customWidth="1"/>
    <x:col min="6919" max="7168" width="9" style="118" customWidth="0"/>
    <x:col min="7169" max="7169" width="28.1640625" style="118" customWidth="1"/>
    <x:col min="7170" max="7170" width="10" style="118" customWidth="1"/>
    <x:col min="7171" max="7171" width="14.33203125" style="118" customWidth="1"/>
    <x:col min="7172" max="7172" width="8" style="118" customWidth="1"/>
    <x:col min="7173" max="7173" width="38" style="118" customWidth="1"/>
    <x:col min="7174" max="7174" width="48.1640625" style="118" customWidth="1"/>
    <x:col min="7175" max="7424" width="9" style="118" customWidth="0"/>
    <x:col min="7425" max="7425" width="28.1640625" style="118" customWidth="1"/>
    <x:col min="7426" max="7426" width="10" style="118" customWidth="1"/>
    <x:col min="7427" max="7427" width="14.33203125" style="118" customWidth="1"/>
    <x:col min="7428" max="7428" width="8" style="118" customWidth="1"/>
    <x:col min="7429" max="7429" width="38" style="118" customWidth="1"/>
    <x:col min="7430" max="7430" width="48.1640625" style="118" customWidth="1"/>
    <x:col min="7431" max="7680" width="9" style="118" customWidth="0"/>
    <x:col min="7681" max="7681" width="28.1640625" style="118" customWidth="1"/>
    <x:col min="7682" max="7682" width="10" style="118" customWidth="1"/>
    <x:col min="7683" max="7683" width="14.33203125" style="118" customWidth="1"/>
    <x:col min="7684" max="7684" width="8" style="118" customWidth="1"/>
    <x:col min="7685" max="7685" width="38" style="118" customWidth="1"/>
    <x:col min="7686" max="7686" width="48.1640625" style="118" customWidth="1"/>
    <x:col min="7687" max="7936" width="9" style="118" customWidth="0"/>
    <x:col min="7937" max="7937" width="28.1640625" style="118" customWidth="1"/>
    <x:col min="7938" max="7938" width="10" style="118" customWidth="1"/>
    <x:col min="7939" max="7939" width="14.33203125" style="118" customWidth="1"/>
    <x:col min="7940" max="7940" width="8" style="118" customWidth="1"/>
    <x:col min="7941" max="7941" width="38" style="118" customWidth="1"/>
    <x:col min="7942" max="7942" width="48.1640625" style="118" customWidth="1"/>
    <x:col min="7943" max="8192" width="9" style="118" customWidth="0"/>
    <x:col min="8193" max="8193" width="28.1640625" style="118" customWidth="1"/>
    <x:col min="8194" max="8194" width="10" style="118" customWidth="1"/>
    <x:col min="8195" max="8195" width="14.33203125" style="118" customWidth="1"/>
    <x:col min="8196" max="8196" width="8" style="118" customWidth="1"/>
    <x:col min="8197" max="8197" width="38" style="118" customWidth="1"/>
    <x:col min="8198" max="8198" width="48.1640625" style="118" customWidth="1"/>
    <x:col min="8199" max="8448" width="9" style="118" customWidth="0"/>
    <x:col min="8449" max="8449" width="28.1640625" style="118" customWidth="1"/>
    <x:col min="8450" max="8450" width="10" style="118" customWidth="1"/>
    <x:col min="8451" max="8451" width="14.33203125" style="118" customWidth="1"/>
    <x:col min="8452" max="8452" width="8" style="118" customWidth="1"/>
    <x:col min="8453" max="8453" width="38" style="118" customWidth="1"/>
    <x:col min="8454" max="8454" width="48.1640625" style="118" customWidth="1"/>
    <x:col min="8455" max="8704" width="9" style="118" customWidth="0"/>
    <x:col min="8705" max="8705" width="28.1640625" style="118" customWidth="1"/>
    <x:col min="8706" max="8706" width="10" style="118" customWidth="1"/>
    <x:col min="8707" max="8707" width="14.33203125" style="118" customWidth="1"/>
    <x:col min="8708" max="8708" width="8" style="118" customWidth="1"/>
    <x:col min="8709" max="8709" width="38" style="118" customWidth="1"/>
    <x:col min="8710" max="8710" width="48.1640625" style="118" customWidth="1"/>
    <x:col min="8711" max="8960" width="9" style="118" customWidth="0"/>
    <x:col min="8961" max="8961" width="28.1640625" style="118" customWidth="1"/>
    <x:col min="8962" max="8962" width="10" style="118" customWidth="1"/>
    <x:col min="8963" max="8963" width="14.33203125" style="118" customWidth="1"/>
    <x:col min="8964" max="8964" width="8" style="118" customWidth="1"/>
    <x:col min="8965" max="8965" width="38" style="118" customWidth="1"/>
    <x:col min="8966" max="8966" width="48.1640625" style="118" customWidth="1"/>
    <x:col min="8967" max="9216" width="9" style="118" customWidth="0"/>
    <x:col min="9217" max="9217" width="28.1640625" style="118" customWidth="1"/>
    <x:col min="9218" max="9218" width="10" style="118" customWidth="1"/>
    <x:col min="9219" max="9219" width="14.33203125" style="118" customWidth="1"/>
    <x:col min="9220" max="9220" width="8" style="118" customWidth="1"/>
    <x:col min="9221" max="9221" width="38" style="118" customWidth="1"/>
    <x:col min="9222" max="9222" width="48.1640625" style="118" customWidth="1"/>
    <x:col min="9223" max="9472" width="9" style="118" customWidth="0"/>
    <x:col min="9473" max="9473" width="28.1640625" style="118" customWidth="1"/>
    <x:col min="9474" max="9474" width="10" style="118" customWidth="1"/>
    <x:col min="9475" max="9475" width="14.33203125" style="118" customWidth="1"/>
    <x:col min="9476" max="9476" width="8" style="118" customWidth="1"/>
    <x:col min="9477" max="9477" width="38" style="118" customWidth="1"/>
    <x:col min="9478" max="9478" width="48.1640625" style="118" customWidth="1"/>
    <x:col min="9479" max="9728" width="9" style="118" customWidth="0"/>
    <x:col min="9729" max="9729" width="28.1640625" style="118" customWidth="1"/>
    <x:col min="9730" max="9730" width="10" style="118" customWidth="1"/>
    <x:col min="9731" max="9731" width="14.33203125" style="118" customWidth="1"/>
    <x:col min="9732" max="9732" width="8" style="118" customWidth="1"/>
    <x:col min="9733" max="9733" width="38" style="118" customWidth="1"/>
    <x:col min="9734" max="9734" width="48.1640625" style="118" customWidth="1"/>
    <x:col min="9735" max="9984" width="9" style="118" customWidth="0"/>
    <x:col min="9985" max="9985" width="28.1640625" style="118" customWidth="1"/>
    <x:col min="9986" max="9986" width="10" style="118" customWidth="1"/>
    <x:col min="9987" max="9987" width="14.33203125" style="118" customWidth="1"/>
    <x:col min="9988" max="9988" width="8" style="118" customWidth="1"/>
    <x:col min="9989" max="9989" width="38" style="118" customWidth="1"/>
    <x:col min="9990" max="9990" width="48.1640625" style="118" customWidth="1"/>
    <x:col min="9991" max="10240" width="9" style="118" customWidth="0"/>
    <x:col min="10241" max="10241" width="28.1640625" style="118" customWidth="1"/>
    <x:col min="10242" max="10242" width="10" style="118" customWidth="1"/>
    <x:col min="10243" max="10243" width="14.33203125" style="118" customWidth="1"/>
    <x:col min="10244" max="10244" width="8" style="118" customWidth="1"/>
    <x:col min="10245" max="10245" width="38" style="118" customWidth="1"/>
    <x:col min="10246" max="10246" width="48.1640625" style="118" customWidth="1"/>
    <x:col min="10247" max="10496" width="9" style="118" customWidth="0"/>
    <x:col min="10497" max="10497" width="28.1640625" style="118" customWidth="1"/>
    <x:col min="10498" max="10498" width="10" style="118" customWidth="1"/>
    <x:col min="10499" max="10499" width="14.33203125" style="118" customWidth="1"/>
    <x:col min="10500" max="10500" width="8" style="118" customWidth="1"/>
    <x:col min="10501" max="10501" width="38" style="118" customWidth="1"/>
    <x:col min="10502" max="10502" width="48.1640625" style="118" customWidth="1"/>
    <x:col min="10503" max="10752" width="9" style="118" customWidth="0"/>
    <x:col min="10753" max="10753" width="28.1640625" style="118" customWidth="1"/>
    <x:col min="10754" max="10754" width="10" style="118" customWidth="1"/>
    <x:col min="10755" max="10755" width="14.33203125" style="118" customWidth="1"/>
    <x:col min="10756" max="10756" width="8" style="118" customWidth="1"/>
    <x:col min="10757" max="10757" width="38" style="118" customWidth="1"/>
    <x:col min="10758" max="10758" width="48.1640625" style="118" customWidth="1"/>
    <x:col min="10759" max="11008" width="9" style="118" customWidth="0"/>
    <x:col min="11009" max="11009" width="28.1640625" style="118" customWidth="1"/>
    <x:col min="11010" max="11010" width="10" style="118" customWidth="1"/>
    <x:col min="11011" max="11011" width="14.33203125" style="118" customWidth="1"/>
    <x:col min="11012" max="11012" width="8" style="118" customWidth="1"/>
    <x:col min="11013" max="11013" width="38" style="118" customWidth="1"/>
    <x:col min="11014" max="11014" width="48.1640625" style="118" customWidth="1"/>
    <x:col min="11015" max="11264" width="9" style="118" customWidth="0"/>
    <x:col min="11265" max="11265" width="28.1640625" style="118" customWidth="1"/>
    <x:col min="11266" max="11266" width="10" style="118" customWidth="1"/>
    <x:col min="11267" max="11267" width="14.33203125" style="118" customWidth="1"/>
    <x:col min="11268" max="11268" width="8" style="118" customWidth="1"/>
    <x:col min="11269" max="11269" width="38" style="118" customWidth="1"/>
    <x:col min="11270" max="11270" width="48.1640625" style="118" customWidth="1"/>
    <x:col min="11271" max="11520" width="9" style="118" customWidth="0"/>
    <x:col min="11521" max="11521" width="28.1640625" style="118" customWidth="1"/>
    <x:col min="11522" max="11522" width="10" style="118" customWidth="1"/>
    <x:col min="11523" max="11523" width="14.33203125" style="118" customWidth="1"/>
    <x:col min="11524" max="11524" width="8" style="118" customWidth="1"/>
    <x:col min="11525" max="11525" width="38" style="118" customWidth="1"/>
    <x:col min="11526" max="11526" width="48.1640625" style="118" customWidth="1"/>
    <x:col min="11527" max="11776" width="9" style="118" customWidth="0"/>
    <x:col min="11777" max="11777" width="28.1640625" style="118" customWidth="1"/>
    <x:col min="11778" max="11778" width="10" style="118" customWidth="1"/>
    <x:col min="11779" max="11779" width="14.33203125" style="118" customWidth="1"/>
    <x:col min="11780" max="11780" width="8" style="118" customWidth="1"/>
    <x:col min="11781" max="11781" width="38" style="118" customWidth="1"/>
    <x:col min="11782" max="11782" width="48.1640625" style="118" customWidth="1"/>
    <x:col min="11783" max="12032" width="9" style="118" customWidth="0"/>
    <x:col min="12033" max="12033" width="28.1640625" style="118" customWidth="1"/>
    <x:col min="12034" max="12034" width="10" style="118" customWidth="1"/>
    <x:col min="12035" max="12035" width="14.33203125" style="118" customWidth="1"/>
    <x:col min="12036" max="12036" width="8" style="118" customWidth="1"/>
    <x:col min="12037" max="12037" width="38" style="118" customWidth="1"/>
    <x:col min="12038" max="12038" width="48.1640625" style="118" customWidth="1"/>
    <x:col min="12039" max="12288" width="9" style="118" customWidth="0"/>
    <x:col min="12289" max="12289" width="28.1640625" style="118" customWidth="1"/>
    <x:col min="12290" max="12290" width="10" style="118" customWidth="1"/>
    <x:col min="12291" max="12291" width="14.33203125" style="118" customWidth="1"/>
    <x:col min="12292" max="12292" width="8" style="118" customWidth="1"/>
    <x:col min="12293" max="12293" width="38" style="118" customWidth="1"/>
    <x:col min="12294" max="12294" width="48.1640625" style="118" customWidth="1"/>
    <x:col min="12295" max="12544" width="9" style="118" customWidth="0"/>
    <x:col min="12545" max="12545" width="28.1640625" style="118" customWidth="1"/>
    <x:col min="12546" max="12546" width="10" style="118" customWidth="1"/>
    <x:col min="12547" max="12547" width="14.33203125" style="118" customWidth="1"/>
    <x:col min="12548" max="12548" width="8" style="118" customWidth="1"/>
    <x:col min="12549" max="12549" width="38" style="118" customWidth="1"/>
    <x:col min="12550" max="12550" width="48.1640625" style="118" customWidth="1"/>
    <x:col min="12551" max="12800" width="9" style="118" customWidth="0"/>
    <x:col min="12801" max="12801" width="28.1640625" style="118" customWidth="1"/>
    <x:col min="12802" max="12802" width="10" style="118" customWidth="1"/>
    <x:col min="12803" max="12803" width="14.33203125" style="118" customWidth="1"/>
    <x:col min="12804" max="12804" width="8" style="118" customWidth="1"/>
    <x:col min="12805" max="12805" width="38" style="118" customWidth="1"/>
    <x:col min="12806" max="12806" width="48.1640625" style="118" customWidth="1"/>
    <x:col min="12807" max="13056" width="9" style="118" customWidth="0"/>
    <x:col min="13057" max="13057" width="28.1640625" style="118" customWidth="1"/>
    <x:col min="13058" max="13058" width="10" style="118" customWidth="1"/>
    <x:col min="13059" max="13059" width="14.33203125" style="118" customWidth="1"/>
    <x:col min="13060" max="13060" width="8" style="118" customWidth="1"/>
    <x:col min="13061" max="13061" width="38" style="118" customWidth="1"/>
    <x:col min="13062" max="13062" width="48.1640625" style="118" customWidth="1"/>
    <x:col min="13063" max="13312" width="9" style="118" customWidth="0"/>
    <x:col min="13313" max="13313" width="28.1640625" style="118" customWidth="1"/>
    <x:col min="13314" max="13314" width="10" style="118" customWidth="1"/>
    <x:col min="13315" max="13315" width="14.33203125" style="118" customWidth="1"/>
    <x:col min="13316" max="13316" width="8" style="118" customWidth="1"/>
    <x:col min="13317" max="13317" width="38" style="118" customWidth="1"/>
    <x:col min="13318" max="13318" width="48.1640625" style="118" customWidth="1"/>
    <x:col min="13319" max="13568" width="9" style="118" customWidth="0"/>
    <x:col min="13569" max="13569" width="28.1640625" style="118" customWidth="1"/>
    <x:col min="13570" max="13570" width="10" style="118" customWidth="1"/>
    <x:col min="13571" max="13571" width="14.33203125" style="118" customWidth="1"/>
    <x:col min="13572" max="13572" width="8" style="118" customWidth="1"/>
    <x:col min="13573" max="13573" width="38" style="118" customWidth="1"/>
    <x:col min="13574" max="13574" width="48.1640625" style="118" customWidth="1"/>
    <x:col min="13575" max="13824" width="9" style="118" customWidth="0"/>
    <x:col min="13825" max="13825" width="28.1640625" style="118" customWidth="1"/>
    <x:col min="13826" max="13826" width="10" style="118" customWidth="1"/>
    <x:col min="13827" max="13827" width="14.33203125" style="118" customWidth="1"/>
    <x:col min="13828" max="13828" width="8" style="118" customWidth="1"/>
    <x:col min="13829" max="13829" width="38" style="118" customWidth="1"/>
    <x:col min="13830" max="13830" width="48.1640625" style="118" customWidth="1"/>
    <x:col min="13831" max="14080" width="9" style="118" customWidth="0"/>
    <x:col min="14081" max="14081" width="28.1640625" style="118" customWidth="1"/>
    <x:col min="14082" max="14082" width="10" style="118" customWidth="1"/>
    <x:col min="14083" max="14083" width="14.33203125" style="118" customWidth="1"/>
    <x:col min="14084" max="14084" width="8" style="118" customWidth="1"/>
    <x:col min="14085" max="14085" width="38" style="118" customWidth="1"/>
    <x:col min="14086" max="14086" width="48.1640625" style="118" customWidth="1"/>
    <x:col min="14087" max="14336" width="9" style="118" customWidth="0"/>
    <x:col min="14337" max="14337" width="28.1640625" style="118" customWidth="1"/>
    <x:col min="14338" max="14338" width="10" style="118" customWidth="1"/>
    <x:col min="14339" max="14339" width="14.33203125" style="118" customWidth="1"/>
    <x:col min="14340" max="14340" width="8" style="118" customWidth="1"/>
    <x:col min="14341" max="14341" width="38" style="118" customWidth="1"/>
    <x:col min="14342" max="14342" width="48.1640625" style="118" customWidth="1"/>
    <x:col min="14343" max="14592" width="9" style="118" customWidth="0"/>
    <x:col min="14593" max="14593" width="28.1640625" style="118" customWidth="1"/>
    <x:col min="14594" max="14594" width="10" style="118" customWidth="1"/>
    <x:col min="14595" max="14595" width="14.33203125" style="118" customWidth="1"/>
    <x:col min="14596" max="14596" width="8" style="118" customWidth="1"/>
    <x:col min="14597" max="14597" width="38" style="118" customWidth="1"/>
    <x:col min="14598" max="14598" width="48.1640625" style="118" customWidth="1"/>
    <x:col min="14599" max="14848" width="9" style="118" customWidth="0"/>
    <x:col min="14849" max="14849" width="28.1640625" style="118" customWidth="1"/>
    <x:col min="14850" max="14850" width="10" style="118" customWidth="1"/>
    <x:col min="14851" max="14851" width="14.33203125" style="118" customWidth="1"/>
    <x:col min="14852" max="14852" width="8" style="118" customWidth="1"/>
    <x:col min="14853" max="14853" width="38" style="118" customWidth="1"/>
    <x:col min="14854" max="14854" width="48.1640625" style="118" customWidth="1"/>
    <x:col min="14855" max="15104" width="9" style="118" customWidth="0"/>
    <x:col min="15105" max="15105" width="28.1640625" style="118" customWidth="1"/>
    <x:col min="15106" max="15106" width="10" style="118" customWidth="1"/>
    <x:col min="15107" max="15107" width="14.33203125" style="118" customWidth="1"/>
    <x:col min="15108" max="15108" width="8" style="118" customWidth="1"/>
    <x:col min="15109" max="15109" width="38" style="118" customWidth="1"/>
    <x:col min="15110" max="15110" width="48.1640625" style="118" customWidth="1"/>
    <x:col min="15111" max="15360" width="9" style="118" customWidth="0"/>
    <x:col min="15361" max="15361" width="28.1640625" style="118" customWidth="1"/>
    <x:col min="15362" max="15362" width="10" style="118" customWidth="1"/>
    <x:col min="15363" max="15363" width="14.33203125" style="118" customWidth="1"/>
    <x:col min="15364" max="15364" width="8" style="118" customWidth="1"/>
    <x:col min="15365" max="15365" width="38" style="118" customWidth="1"/>
    <x:col min="15366" max="15366" width="48.1640625" style="118" customWidth="1"/>
    <x:col min="15367" max="15616" width="9" style="118" customWidth="0"/>
    <x:col min="15617" max="15617" width="28.1640625" style="118" customWidth="1"/>
    <x:col min="15618" max="15618" width="10" style="118" customWidth="1"/>
    <x:col min="15619" max="15619" width="14.33203125" style="118" customWidth="1"/>
    <x:col min="15620" max="15620" width="8" style="118" customWidth="1"/>
    <x:col min="15621" max="15621" width="38" style="118" customWidth="1"/>
    <x:col min="15622" max="15622" width="48.1640625" style="118" customWidth="1"/>
    <x:col min="15623" max="15872" width="9" style="118" customWidth="0"/>
    <x:col min="15873" max="15873" width="28.1640625" style="118" customWidth="1"/>
    <x:col min="15874" max="15874" width="10" style="118" customWidth="1"/>
    <x:col min="15875" max="15875" width="14.33203125" style="118" customWidth="1"/>
    <x:col min="15876" max="15876" width="8" style="118" customWidth="1"/>
    <x:col min="15877" max="15877" width="38" style="118" customWidth="1"/>
    <x:col min="15878" max="15878" width="48.1640625" style="118" customWidth="1"/>
    <x:col min="15879" max="16128" width="9" style="118" customWidth="0"/>
    <x:col min="16129" max="16129" width="28.1640625" style="118" customWidth="1"/>
    <x:col min="16130" max="16130" width="10" style="118" customWidth="1"/>
    <x:col min="16131" max="16131" width="14.33203125" style="118" customWidth="1"/>
    <x:col min="16132" max="16132" width="8" style="118" customWidth="1"/>
    <x:col min="16133" max="16133" width="38" style="118" customWidth="1"/>
    <x:col min="16134" max="16134" width="48.1640625" style="118" customWidth="1"/>
    <x:col min="16135" max="16384" width="9" style="118" customWidth="0"/>
  </x:cols>
  <x:sheetData>
    <x:row r="2" s="115" customFormat="1" ht="75.75" customHeight="1">
      <x:c r="A2" s="113"/>
      <x:c r="B2" s="114" t="s">
        <x:v>0</x:v>
      </x:c>
      <x:c r="C2" s="114"/>
      <x:c r="D2" s="114"/>
      <x:c r="E2" s="114"/>
      <x:c r="F2" s="114"/>
    </x:row>
    <x:row r="3">
      <x:c r="A3" s="116"/>
      <x:c r="B3" s="117"/>
      <x:c r="E3" s="119"/>
    </x:row>
    <x:row r="4" ht="38" customHeight="1">
      <x:c r="A4" s="120" t="s">
        <x:v>1</x:v>
      </x:c>
      <x:c r="B4" s="150" t="str">
        <x:v>Đợi HuyLong điền — official project name</x:v>
      </x:c>
      <x:c r="C4" s="150"/>
      <x:c r="D4" s="150"/>
      <x:c r="E4" s="120" t="s">
        <x:v>2</x:v>
      </x:c>
      <x:c r="F4" s="154" t="str">
        <x:v>Đợi HuyLong điền — author</x:v>
      </x:c>
    </x:row>
    <x:row r="5" ht="38" customHeight="1">
      <x:c r="A5" s="120" t="s">
        <x:v>3</x:v>
      </x:c>
      <x:c r="B5" s="150" t="str">
        <x:v>Đợi HuyLong điền — official project code</x:v>
      </x:c>
      <x:c r="C5" s="150"/>
      <x:c r="D5" s="150"/>
      <x:c r="E5" s="120" t="s">
        <x:v>4</x:v>
      </x:c>
      <x:c r="F5" s="155" t="str">
        <x:v>Đợi HuyLong điền — issue date</x:v>
      </x:c>
    </x:row>
    <x:row r="6" ht="38" customHeight="1">
      <x:c r="A6" s="124" t="s">
        <x:v>5</x:v>
      </x:c>
      <x:c r="B6" s="151" t="str">
        <x:v>Đợi HuyLong điền — document code</x:v>
      </x:c>
      <x:c r="C6" s="152"/>
      <x:c r="D6" s="153"/>
      <x:c r="E6" s="120" t="s">
        <x:v>6</x:v>
      </x:c>
      <x:c r="F6" s="156" t="str">
        <x:v>Đợi HuyLong điền — version</x:v>
      </x:c>
    </x:row>
    <x:row r="7">
      <x:c r="A7" s="129"/>
      <x:c r="B7" s="130"/>
      <x:c r="E7" s="131"/>
      <x:c r="F7" s="117"/>
    </x:row>
    <x:row r="8">
      <x:c r="A8" s="118"/>
    </x:row>
    <x:row r="9">
      <x:c r="A9" s="132" t="s">
        <x:v>7</x:v>
      </x:c>
    </x:row>
    <x:row r="10" s="136" customFormat="1">
      <x:c r="A10" s="133" t="s">
        <x:v>8</x:v>
      </x:c>
      <x:c r="B10" s="134" t="s">
        <x:v>6</x:v>
      </x:c>
      <x:c r="C10" s="134" t="s">
        <x:v>9</x:v>
      </x:c>
      <x:c r="D10" s="134" t="s">
        <x:v>10</x:v>
      </x:c>
      <x:c r="E10" s="134" t="s">
        <x:v>11</x:v>
      </x:c>
      <x:c r="F10" s="135" t="s">
        <x:v>12</x:v>
      </x:c>
    </x:row>
    <x:row r="11" s="142" customFormat="1" ht="65" customHeight="1">
      <x:c r="A11" s="157" t="str">
        <x:v>2026-10-27</x:v>
      </x:c>
      <x:c r="B11" s="158" t="str">
        <x:v>Working copy</x:v>
      </x:c>
      <x:c r="C11" s="159" t="str">
        <x:v>Evidence and test inventory</x:v>
      </x:c>
      <x:c r="D11" s="159" t="str">
        <x:v>A</x:v>
      </x:c>
      <x:c r="E11" s="160" t="str">
        <x:v>Filled from preserved automated evidence; pending tests remain explicit.</x:v>
      </x:c>
      <x:c r="F11" s="161" t="str">
        <x:v>dev e5beb8e; Report 3; TRX</x:v>
      </x:c>
    </x:row>
    <x:row r="12" s="142" customFormat="1" ht="21.75" customHeight="1">
      <x:c r="A12" s="143"/>
      <x:c r="B12" s="138"/>
      <x:c r="C12" s="139"/>
      <x:c r="D12" s="139"/>
      <x:c r="E12" s="139"/>
      <x:c r="F12" s="144"/>
    </x:row>
    <x:row r="13" s="142" customFormat="1" ht="19.5" customHeight="1">
      <x:c r="A13" s="143"/>
      <x:c r="B13" s="138"/>
      <x:c r="C13" s="139"/>
      <x:c r="D13" s="139"/>
      <x:c r="E13" s="139"/>
      <x:c r="F13" s="144"/>
    </x:row>
    <x:row r="14" s="142" customFormat="1" ht="21.75" customHeight="1">
      <x:c r="A14" s="143"/>
      <x:c r="B14" s="138"/>
      <x:c r="C14" s="139"/>
      <x:c r="D14" s="139"/>
      <x:c r="E14" s="139"/>
      <x:c r="F14" s="144"/>
    </x:row>
    <x:row r="15" s="142" customFormat="1" ht="19.5" customHeight="1">
      <x:c r="A15" s="143"/>
      <x:c r="B15" s="138"/>
      <x:c r="C15" s="139"/>
      <x:c r="D15" s="139"/>
      <x:c r="E15" s="139"/>
      <x:c r="F15" s="144"/>
    </x:row>
    <x:row r="16" s="142" customFormat="1" ht="21.75" customHeight="1">
      <x:c r="A16" s="143"/>
      <x:c r="B16" s="138"/>
      <x:c r="C16" s="139"/>
      <x:c r="D16" s="139"/>
      <x:c r="E16" s="139"/>
      <x:c r="F16" s="144"/>
    </x:row>
    <x:row r="17" s="142" customFormat="1" ht="19.5" customHeight="1">
      <x:c r="A17" s="145"/>
      <x:c r="B17" s="146"/>
      <x:c r="C17" s="147"/>
      <x:c r="D17" s="147"/>
      <x:c r="E17" s="147"/>
      <x:c r="F17" s="148"/>
    </x:row>
  </x:sheetData>
  <x:mergeCells>
    <x:mergeCell ref="B2:F2"/>
    <x:mergeCell ref="B4:D4"/>
    <x:mergeCell ref="B5:D5"/>
    <x:mergeCell ref="B6:D6"/>
  </x:mergeCells>
  <x:pageMargins left="0.7" right="0.7" top="0.75" bottom="0.75" header="0.3" footer="0.3"/>
  <x:drawing xmlns:r="http://schemas.openxmlformats.org/officeDocument/2006/relationships" r:id="R8efc3d6841d24711"/>
  <x:legacyDrawing xmlns:r="http://schemas.openxmlformats.org/officeDocument/2006/relationships" r:id="R82ccb772ce364c40"/>
</x:worksheet>
</file>

<file path=xl/worksheets/sheet2.xml><?xml version="1.0" encoding="utf-8"?>
<x:worksheet xmlns:x="http://schemas.openxmlformats.org/spreadsheetml/2006/main">
  <x:sheetFormatPr baseColWidth="10" defaultColWidth="9" defaultRowHeight="13"/>
  <x:cols>
    <x:col min="1" max="1" width="1.33203125" style="1" customWidth="1"/>
    <x:col min="2" max="2" width="11.83203125" style="3" customWidth="1"/>
    <x:col min="3" max="3" width="26.5" style="4" customWidth="1"/>
    <x:col min="4" max="4" width="17.1640625" style="4" customWidth="1"/>
    <x:col min="5" max="5" width="28.1640625" style="4" customWidth="1"/>
    <x:col min="6" max="6" width="30.6640625" style="4" customWidth="1"/>
    <x:col min="7" max="16384" width="9" style="1" customWidth="0"/>
  </x:cols>
  <x:sheetData>
    <x:row r="1" ht="25">
      <x:c r="B1" s="5"/>
      <x:c r="D1" s="6" t="s">
        <x:v>13</x:v>
      </x:c>
      <x:c r="E1" s="7"/>
    </x:row>
    <x:row r="2" ht="13.5" customHeight="1">
      <x:c r="B2" s="5"/>
      <x:c r="D2" s="8"/>
      <x:c r="E2" s="8"/>
    </x:row>
    <x:row r="3">
      <x:c r="B3" s="104" t="s">
        <x:v>1</x:v>
      </x:c>
      <x:c r="C3" s="104"/>
      <x:c r="D3" s="105" t="str">
        <x:f>Cover!B4</x:f>
        <x:v>Đợi HuyLong điền — official project name</x:v>
      </x:c>
      <x:c r="E3" s="105"/>
      <x:c r="F3" s="105"/>
    </x:row>
    <x:row r="4">
      <x:c r="B4" s="104" t="s">
        <x:v>3</x:v>
      </x:c>
      <x:c r="C4" s="104"/>
      <x:c r="D4" s="105" t="str">
        <x:f>Cover!B5</x:f>
        <x:v>Đợi HuyLong điền — official project code</x:v>
      </x:c>
      <x:c r="E4" s="105"/>
      <x:c r="F4" s="105"/>
    </x:row>
    <x:row r="5" s="9" customFormat="1" ht="65" customHeight="1">
      <x:c r="B5" s="102" t="s">
        <x:v>14</x:v>
      </x:c>
      <x:c r="C5" s="102"/>
      <x:c r="D5" s="162" t="str">
        <x:v>Local PostgreSQL 17.11 / .NET 10; actual API services; mocked identity and external providers. See NFR Results and HANDOFF.</x:v>
      </x:c>
      <x:c r="E5" s="162"/>
      <x:c r="F5" s="162"/>
    </x:row>
    <x:row r="6">
      <x:c r="B6" s="10"/>
      <x:c r="C6" s="11"/>
      <x:c r="D6" s="11"/>
      <x:c r="E6" s="11"/>
      <x:c r="F6" s="11"/>
    </x:row>
    <x:row r="7" s="12" customFormat="1">
      <x:c r="B7" s="13"/>
      <x:c r="C7" s="14"/>
      <x:c r="D7" s="14"/>
      <x:c r="E7" s="14"/>
      <x:c r="F7" s="14"/>
    </x:row>
    <x:row r="8" s="15" customFormat="1" ht="21" customHeight="1">
      <x:c r="B8" s="16" t="s">
        <x:v>15</x:v>
      </x:c>
      <x:c r="C8" s="17" t="s">
        <x:v>16</x:v>
      </x:c>
      <x:c r="D8" s="17" t="s">
        <x:v>17</x:v>
      </x:c>
      <x:c r="E8" s="18" t="s">
        <x:v>18</x:v>
      </x:c>
      <x:c r="F8" s="19" t="s">
        <x:v>19</x:v>
      </x:c>
    </x:row>
    <x:row r="9" ht="14">
      <x:c r="B9" s="20" t="n">
        <x:v>1</x:v>
      </x:c>
      <x:c r="C9" s="21" t="str">
        <x:v>API integration/local NFR</x:v>
      </x:c>
      <x:c r="D9" s="101" t="str">
        <x:v>Feature 1</x:v>
      </x:c>
      <x:c r="E9" s="22" t="str">
        <x:v>Observed results; mocks explicitly identified</x:v>
      </x:c>
      <x:c r="F9" s="23" t="str">
        <x:v>See per-case preconditions</x:v>
      </x:c>
    </x:row>
    <x:row r="10" ht="14">
      <x:c r="B10" s="20" t="n">
        <x:v>2</x:v>
      </x:c>
      <x:c r="C10" s="21" t="str">
        <x:v>Planned system/E2E</x:v>
      </x:c>
      <x:c r="D10" s="101" t="str">
        <x:v>Feature 2</x:v>
      </x:c>
      <x:c r="E10" s="22" t="str">
        <x:v>Not executed; procedure ready</x:v>
      </x:c>
      <x:c r="F10" s="23" t="str">
        <x:v>See per-case preconditions</x:v>
      </x:c>
    </x:row>
    <x:row r="11" ht="14">
      <x:c r="B11" s="20"/>
      <x:c r="C11" s="21"/>
      <x:c r="D11" s="101"/>
      <x:c r="E11" s="22"/>
      <x:c r="F11" s="23"/>
    </x:row>
    <x:row r="12" ht="14">
      <x:c r="B12" s="20"/>
      <x:c r="C12" s="21"/>
      <x:c r="D12" s="101"/>
      <x:c r="E12" s="22"/>
      <x:c r="F12" s="23"/>
    </x:row>
    <x:row r="13" ht="14">
      <x:c r="B13" s="20"/>
      <x:c r="C13" s="21"/>
      <x:c r="D13" s="101"/>
      <x:c r="E13" s="22"/>
      <x:c r="F13" s="23"/>
    </x:row>
    <x:row r="14">
      <x:c r="B14" s="20"/>
      <x:c r="C14" s="21"/>
      <x:c r="D14" s="24"/>
      <x:c r="E14" s="24"/>
      <x:c r="F14" s="23"/>
    </x:row>
    <x:row r="15">
      <x:c r="B15" s="20"/>
      <x:c r="C15" s="21"/>
      <x:c r="D15" s="24"/>
      <x:c r="E15" s="24"/>
      <x:c r="F15" s="23"/>
    </x:row>
    <x:row r="16">
      <x:c r="B16" s="20"/>
      <x:c r="C16" s="21"/>
      <x:c r="D16" s="24"/>
      <x:c r="E16" s="24"/>
      <x:c r="F16" s="23"/>
    </x:row>
    <x:row r="17">
      <x:c r="B17" s="20"/>
      <x:c r="C17" s="21"/>
      <x:c r="D17" s="24"/>
      <x:c r="E17" s="24"/>
      <x:c r="F17" s="23"/>
    </x:row>
    <x:row r="18">
      <x:c r="B18" s="20"/>
      <x:c r="C18" s="21"/>
      <x:c r="D18" s="24"/>
      <x:c r="E18" s="24"/>
      <x:c r="F18" s="23"/>
    </x:row>
    <x:row r="19">
      <x:c r="B19" s="20"/>
      <x:c r="C19" s="21"/>
      <x:c r="D19" s="24"/>
      <x:c r="E19" s="24"/>
      <x:c r="F19" s="23"/>
    </x:row>
    <x:row r="20">
      <x:c r="B20" s="20"/>
      <x:c r="C20" s="21"/>
      <x:c r="D20" s="24"/>
      <x:c r="E20" s="24"/>
      <x:c r="F20" s="23"/>
    </x:row>
    <x:row r="21">
      <x:c r="B21" s="25"/>
      <x:c r="C21" s="26"/>
      <x:c r="D21" s="27"/>
      <x:c r="E21" s="27"/>
      <x:c r="F21" s="28"/>
    </x:row>
  </x:sheetData>
  <x:mergeCells>
    <x:mergeCell ref="B5:C5"/>
    <x:mergeCell ref="D5:F5"/>
    <x:mergeCell ref="B3:C3"/>
    <x:mergeCell ref="D3:F3"/>
    <x:mergeCell ref="B4:C4"/>
    <x:mergeCell ref="D4:F4"/>
  </x:mergeCells>
  <x:hyperlinks>
    <x:hyperlink ref="D9" location="Feature1!A1"/>
    <x:hyperlink ref="D10" location="Feature2!A1"/>
    <x:hyperlink ref="D11" location="Feature1!A1"/>
    <x:hyperlink ref="D12" location="Feature2!A1"/>
    <x:hyperlink ref="D13" location="Feature2!A1"/>
  </x:hyperlink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9" defaultRowHeight="13"/>
  <x:cols>
    <x:col min="1" max="1" width="4.5" style="1" customWidth="1"/>
    <x:col min="2" max="2" width="18.33203125" style="1" customWidth="1"/>
    <x:col min="3" max="3" width="38" style="1" hidden="0" customWidth="1"/>
    <x:col min="4" max="6" width="11.6640625" style="1" customWidth="1"/>
    <x:col min="7" max="7" width="9" style="1" customWidth="0"/>
    <x:col min="8" max="8" width="35.5" style="1" customWidth="1"/>
    <x:col min="9" max="9" width="33.1640625" style="1" customWidth="1"/>
    <x:col min="10" max="16384" width="9" style="1" customWidth="0"/>
  </x:cols>
  <x:sheetData>
    <x:row r="1" ht="25.5" customHeight="1">
      <x:c r="B1" s="108" t="s">
        <x:v>20</x:v>
      </x:c>
      <x:c r="C1" s="108"/>
      <x:c r="D1" s="108"/>
      <x:c r="E1" s="108"/>
      <x:c r="F1" s="108"/>
      <x:c r="G1" s="108"/>
      <x:c r="H1" s="108"/>
    </x:row>
    <x:row r="2" ht="14.25" customHeight="1">
      <x:c r="A2" s="52"/>
      <x:c r="B2" s="52"/>
      <x:c r="C2" s="53"/>
      <x:c r="D2" s="53"/>
      <x:c r="E2" s="53"/>
      <x:c r="F2" s="53"/>
      <x:c r="G2" s="53"/>
      <x:c r="H2" s="54"/>
    </x:row>
    <x:row r="3" ht="12" customHeight="1">
      <x:c r="B3" s="2" t="s">
        <x:v>1</x:v>
      </x:c>
      <x:c r="C3" s="105" t="str">
        <x:f>Cover!B4</x:f>
        <x:v>Đợi HuyLong điền — official project name</x:v>
      </x:c>
      <x:c r="D3" s="105"/>
      <x:c r="E3" s="106" t="s">
        <x:v>2</x:v>
      </x:c>
      <x:c r="F3" s="106"/>
      <x:c r="G3" s="55"/>
      <x:c r="H3" s="56" t="str">
        <x:v>Đợi HuyLong điền — author</x:v>
      </x:c>
    </x:row>
    <x:row r="4" ht="12" customHeight="1">
      <x:c r="B4" s="2" t="s">
        <x:v>3</x:v>
      </x:c>
      <x:c r="C4" s="105" t="str">
        <x:f>Cover!B5</x:f>
        <x:v>Đợi HuyLong điền — official project code</x:v>
      </x:c>
      <x:c r="D4" s="105"/>
      <x:c r="E4" s="106" t="s">
        <x:v>21</x:v>
      </x:c>
      <x:c r="F4" s="106"/>
      <x:c r="G4" s="55"/>
      <x:c r="H4" s="56" t="str">
        <x:v>Đợi HuyLong điền — reviewer</x:v>
      </x:c>
    </x:row>
    <x:row r="5" ht="12" customHeight="1">
      <x:c r="B5" s="57" t="s">
        <x:v>5</x:v>
      </x:c>
      <x:c r="C5" s="105" t="str">
        <x:v>Đợi HuyLong điền — document code</x:v>
      </x:c>
      <x:c r="D5" s="105"/>
      <x:c r="E5" s="106" t="s">
        <x:v>4</x:v>
      </x:c>
      <x:c r="F5" s="106"/>
      <x:c r="G5" s="55"/>
      <x:c r="H5" s="58" t="str">
        <x:v>Đợi HuyLong điền — issue date</x:v>
      </x:c>
    </x:row>
    <x:row r="6" ht="50" customHeight="1">
      <x:c r="A6" s="52"/>
      <x:c r="B6" s="57" t="s">
        <x:v>22</x:v>
      </x:c>
      <x:c r="C6" s="162" t="str">
        <x:v>Only Round 1 results. Functional/API + local NFR are listed separately by mode; planned tests are not passes.</x:v>
      </x:c>
      <x:c r="D6" s="162"/>
      <x:c r="E6" s="162"/>
      <x:c r="F6" s="162"/>
      <x:c r="G6" s="162"/>
      <x:c r="H6" s="162"/>
    </x:row>
    <x:row r="7" ht="14.25" customHeight="1">
      <x:c r="A7" s="52"/>
      <x:c r="B7" s="59"/>
      <x:c r="C7" s="60"/>
      <x:c r="D7" s="53"/>
      <x:c r="E7" s="53"/>
      <x:c r="F7" s="53"/>
      <x:c r="G7" s="53"/>
      <x:c r="H7" s="54"/>
    </x:row>
    <x:row r="8">
      <x:c r="B8" s="59"/>
      <x:c r="C8" s="60"/>
      <x:c r="D8" s="53"/>
      <x:c r="E8" s="53"/>
      <x:c r="F8" s="53"/>
      <x:c r="G8" s="53"/>
      <x:c r="H8" s="54"/>
    </x:row>
    <x:row r="9">
      <x:c r="A9" s="61"/>
      <x:c r="B9" s="61"/>
      <x:c r="C9" s="61"/>
      <x:c r="D9" s="61"/>
      <x:c r="E9" s="61"/>
      <x:c r="F9" s="61"/>
      <x:c r="G9" s="61"/>
      <x:c r="H9" s="61"/>
    </x:row>
    <x:row r="10" ht="32" customHeight="1">
      <x:c r="A10" s="62"/>
      <x:c r="B10" s="227" t="str">
        <x:v>No</x:v>
      </x:c>
      <x:c r="C10" s="227" t="str">
        <x:v>Module code</x:v>
      </x:c>
      <x:c r="D10" s="227" t="str">
        <x:v>Passed</x:v>
      </x:c>
      <x:c r="E10" s="227" t="str">
        <x:v>Failed</x:v>
      </x:c>
      <x:c r="F10" s="227" t="str">
        <x:v>Not Tested</x:v>
      </x:c>
      <x:c r="G10" s="227" t="str">
        <x:v>N/A</x:v>
      </x:c>
      <x:c r="H10" s="227" t="str">
        <x:v>Number of test cases</x:v>
      </x:c>
    </x:row>
    <x:row r="11" ht="26" customHeight="1">
      <x:c r="A11" s="68"/>
      <x:c r="B11" s="230" t="n">
        <x:v>1</x:v>
      </x:c>
      <x:c r="C11" s="228" t="str">
        <x:v>Identity</x:v>
      </x:c>
      <x:c r="D11" s="239" t="n">
        <x:f>COUNTIFS('Feature 1'!$U$12:$U$110,C11,'Feature 1'!$F$12:$F$110,"Passed")+COUNTIFS('Feature 2'!$U$12:$U$110,C11,'Feature 2'!$F$12:$F$110,"Passed")</x:f>
        <x:v>4</x:v>
      </x:c>
      <x:c r="E11" s="239" t="n">
        <x:f>COUNTIFS('Feature 1'!$U$12:$U$110,C11,'Feature 1'!$F$12:$F$110,"Failed")+COUNTIFS('Feature 2'!$U$12:$U$110,C11,'Feature 2'!$F$12:$F$110,"Failed")</x:f>
        <x:v>2</x:v>
      </x:c>
      <x:c r="F11" s="239" t="n">
        <x:f>COUNTIFS('Feature 1'!$U$12:$U$110,C11,'Feature 1'!$F$12:$F$110,"Not Tested")+COUNTIFS('Feature 2'!$U$12:$U$110,C11,'Feature 2'!$F$12:$F$110,"Not Tested")</x:f>
        <x:v>3</x:v>
      </x:c>
      <x:c r="G11" s="239" t="n">
        <x:f>COUNTIFS('Feature 1'!$U$12:$U$110,C11,'Feature 1'!$F$12:$F$110,"N/A")+COUNTIFS('Feature 2'!$U$12:$U$110,C11,'Feature 2'!$F$12:$F$110,"N/A")</x:f>
        <x:v>0</x:v>
      </x:c>
      <x:c r="H11" s="239" t="n">
        <x:f>SUM(D11:G11)</x:f>
        <x:v>9</x:v>
      </x:c>
    </x:row>
    <x:row r="12" ht="26" customHeight="1">
      <x:c r="A12" s="68"/>
      <x:c r="B12" s="230" t="n">
        <x:v>2</x:v>
      </x:c>
      <x:c r="C12" s="228" t="str">
        <x:v>Catalog</x:v>
      </x:c>
      <x:c r="D12" s="239" t="n">
        <x:f>COUNTIFS('Feature 1'!$U$12:$U$110,C12,'Feature 1'!$F$12:$F$110,"Passed")+COUNTIFS('Feature 2'!$U$12:$U$110,C12,'Feature 2'!$F$12:$F$110,"Passed")</x:f>
        <x:v>4</x:v>
      </x:c>
      <x:c r="E12" s="239" t="n">
        <x:f>COUNTIFS('Feature 1'!$U$12:$U$110,C12,'Feature 1'!$F$12:$F$110,"Failed")+COUNTIFS('Feature 2'!$U$12:$U$110,C12,'Feature 2'!$F$12:$F$110,"Failed")</x:f>
        <x:v>1</x:v>
      </x:c>
      <x:c r="F12" s="239" t="n">
        <x:f>COUNTIFS('Feature 1'!$U$12:$U$110,C12,'Feature 1'!$F$12:$F$110,"Not Tested")+COUNTIFS('Feature 2'!$U$12:$U$110,C12,'Feature 2'!$F$12:$F$110,"Not Tested")</x:f>
        <x:v>2</x:v>
      </x:c>
      <x:c r="G12" s="239" t="n">
        <x:f>COUNTIFS('Feature 1'!$U$12:$U$110,C12,'Feature 1'!$F$12:$F$110,"N/A")+COUNTIFS('Feature 2'!$U$12:$U$110,C12,'Feature 2'!$F$12:$F$110,"N/A")</x:f>
        <x:v>0</x:v>
      </x:c>
      <x:c r="H12" s="239" t="n">
        <x:f>SUM(D12:G12)</x:f>
        <x:v>7</x:v>
      </x:c>
    </x:row>
    <x:row r="13" ht="26" customHeight="1">
      <x:c r="A13" s="68"/>
      <x:c r="B13" s="230" t="n">
        <x:v>3</x:v>
      </x:c>
      <x:c r="C13" s="228" t="str">
        <x:v>Borrow</x:v>
      </x:c>
      <x:c r="D13" s="239" t="n">
        <x:f>COUNTIFS('Feature 1'!$U$12:$U$110,C13,'Feature 1'!$F$12:$F$110,"Passed")+COUNTIFS('Feature 2'!$U$12:$U$110,C13,'Feature 2'!$F$12:$F$110,"Passed")</x:f>
        <x:v>8</x:v>
      </x:c>
      <x:c r="E13" s="239" t="n">
        <x:f>COUNTIFS('Feature 1'!$U$12:$U$110,C13,'Feature 1'!$F$12:$F$110,"Failed")+COUNTIFS('Feature 2'!$U$12:$U$110,C13,'Feature 2'!$F$12:$F$110,"Failed")</x:f>
        <x:v>0</x:v>
      </x:c>
      <x:c r="F13" s="239" t="n">
        <x:f>COUNTIFS('Feature 1'!$U$12:$U$110,C13,'Feature 1'!$F$12:$F$110,"Not Tested")+COUNTIFS('Feature 2'!$U$12:$U$110,C13,'Feature 2'!$F$12:$F$110,"Not Tested")</x:f>
        <x:v>3</x:v>
      </x:c>
      <x:c r="G13" s="239" t="n">
        <x:f>COUNTIFS('Feature 1'!$U$12:$U$110,C13,'Feature 1'!$F$12:$F$110,"N/A")+COUNTIFS('Feature 2'!$U$12:$U$110,C13,'Feature 2'!$F$12:$F$110,"N/A")</x:f>
        <x:v>0</x:v>
      </x:c>
      <x:c r="H13" s="239" t="n">
        <x:f>SUM(D13:G13)</x:f>
        <x:v>11</x:v>
      </x:c>
    </x:row>
    <x:row r="14" ht="26" customHeight="1">
      <x:c r="A14" s="68"/>
      <x:c r="B14" s="230" t="n">
        <x:v>4</x:v>
      </x:c>
      <x:c r="C14" s="228" t="str">
        <x:v>Return and incidents</x:v>
      </x:c>
      <x:c r="D14" s="239" t="n">
        <x:f>COUNTIFS('Feature 1'!$U$12:$U$110,C14,'Feature 1'!$F$12:$F$110,"Passed")+COUNTIFS('Feature 2'!$U$12:$U$110,C14,'Feature 2'!$F$12:$F$110,"Passed")</x:f>
        <x:v>6</x:v>
      </x:c>
      <x:c r="E14" s="239" t="n">
        <x:f>COUNTIFS('Feature 1'!$U$12:$U$110,C14,'Feature 1'!$F$12:$F$110,"Failed")+COUNTIFS('Feature 2'!$U$12:$U$110,C14,'Feature 2'!$F$12:$F$110,"Failed")</x:f>
        <x:v>0</x:v>
      </x:c>
      <x:c r="F14" s="239" t="n">
        <x:f>COUNTIFS('Feature 1'!$U$12:$U$110,C14,'Feature 1'!$F$12:$F$110,"Not Tested")+COUNTIFS('Feature 2'!$U$12:$U$110,C14,'Feature 2'!$F$12:$F$110,"Not Tested")</x:f>
        <x:v>3</x:v>
      </x:c>
      <x:c r="G14" s="239" t="n">
        <x:f>COUNTIFS('Feature 1'!$U$12:$U$110,C14,'Feature 1'!$F$12:$F$110,"N/A")+COUNTIFS('Feature 2'!$U$12:$U$110,C14,'Feature 2'!$F$12:$F$110,"N/A")</x:f>
        <x:v>0</x:v>
      </x:c>
      <x:c r="H14" s="239" t="n">
        <x:f>SUM(D14:G14)</x:f>
        <x:v>9</x:v>
      </x:c>
    </x:row>
    <x:row r="15" ht="26" customHeight="1">
      <x:c r="A15" s="61"/>
      <x:c r="B15" s="230" t="n">
        <x:v>5</x:v>
      </x:c>
      <x:c r="C15" s="228" t="str">
        <x:v>Renewal</x:v>
      </x:c>
      <x:c r="D15" s="239" t="n">
        <x:f>COUNTIFS('Feature 1'!$U$12:$U$110,C15,'Feature 1'!$F$12:$F$110,"Passed")+COUNTIFS('Feature 2'!$U$12:$U$110,C15,'Feature 2'!$F$12:$F$110,"Passed")</x:f>
        <x:v>1</x:v>
      </x:c>
      <x:c r="E15" s="239" t="n">
        <x:f>COUNTIFS('Feature 1'!$U$12:$U$110,C15,'Feature 1'!$F$12:$F$110,"Failed")+COUNTIFS('Feature 2'!$U$12:$U$110,C15,'Feature 2'!$F$12:$F$110,"Failed")</x:f>
        <x:v>0</x:v>
      </x:c>
      <x:c r="F15" s="239" t="n">
        <x:f>COUNTIFS('Feature 1'!$U$12:$U$110,C15,'Feature 1'!$F$12:$F$110,"Not Tested")+COUNTIFS('Feature 2'!$U$12:$U$110,C15,'Feature 2'!$F$12:$F$110,"Not Tested")</x:f>
        <x:v>2</x:v>
      </x:c>
      <x:c r="G15" s="239" t="n">
        <x:f>COUNTIFS('Feature 1'!$U$12:$U$110,C15,'Feature 1'!$F$12:$F$110,"N/A")+COUNTIFS('Feature 2'!$U$12:$U$110,C15,'Feature 2'!$F$12:$F$110,"N/A")</x:f>
        <x:v>0</x:v>
      </x:c>
      <x:c r="H15" s="239" t="n">
        <x:f>SUM(D15:G15)</x:f>
        <x:v>3</x:v>
      </x:c>
    </x:row>
    <x:row r="16" ht="26" customHeight="1">
      <x:c r="A16" s="61"/>
      <x:c r="B16" s="230" t="n">
        <x:v>6</x:v>
      </x:c>
      <x:c r="C16" s="228" t="str">
        <x:v>Reservation</x:v>
      </x:c>
      <x:c r="D16" s="239" t="n">
        <x:f>COUNTIFS('Feature 1'!$U$12:$U$110,C16,'Feature 1'!$F$12:$F$110,"Passed")+COUNTIFS('Feature 2'!$U$12:$U$110,C16,'Feature 2'!$F$12:$F$110,"Passed")</x:f>
        <x:v>1</x:v>
      </x:c>
      <x:c r="E16" s="239" t="n">
        <x:f>COUNTIFS('Feature 1'!$U$12:$U$110,C16,'Feature 1'!$F$12:$F$110,"Failed")+COUNTIFS('Feature 2'!$U$12:$U$110,C16,'Feature 2'!$F$12:$F$110,"Failed")</x:f>
        <x:v>0</x:v>
      </x:c>
      <x:c r="F16" s="239" t="n">
        <x:f>COUNTIFS('Feature 1'!$U$12:$U$110,C16,'Feature 1'!$F$12:$F$110,"Not Tested")+COUNTIFS('Feature 2'!$U$12:$U$110,C16,'Feature 2'!$F$12:$F$110,"Not Tested")</x:f>
        <x:v>5</x:v>
      </x:c>
      <x:c r="G16" s="239" t="n">
        <x:f>COUNTIFS('Feature 1'!$U$12:$U$110,C16,'Feature 1'!$F$12:$F$110,"N/A")+COUNTIFS('Feature 2'!$U$12:$U$110,C16,'Feature 2'!$F$12:$F$110,"N/A")</x:f>
        <x:v>0</x:v>
      </x:c>
      <x:c r="H16" s="239" t="n">
        <x:f>SUM(D16:G16)</x:f>
        <x:v>6</x:v>
      </x:c>
    </x:row>
    <x:row r="17" ht="26" customHeight="1">
      <x:c r="A17" s="61"/>
      <x:c r="B17" s="230" t="n">
        <x:v>7</x:v>
      </x:c>
      <x:c r="C17" s="228" t="str">
        <x:v>Fine payment</x:v>
      </x:c>
      <x:c r="D17" s="239" t="n">
        <x:f>COUNTIFS('Feature 1'!$U$12:$U$110,C17,'Feature 1'!$F$12:$F$110,"Passed")+COUNTIFS('Feature 2'!$U$12:$U$110,C17,'Feature 2'!$F$12:$F$110,"Passed")</x:f>
        <x:v>4</x:v>
      </x:c>
      <x:c r="E17" s="239" t="n">
        <x:f>COUNTIFS('Feature 1'!$U$12:$U$110,C17,'Feature 1'!$F$12:$F$110,"Failed")+COUNTIFS('Feature 2'!$U$12:$U$110,C17,'Feature 2'!$F$12:$F$110,"Failed")</x:f>
        <x:v>0</x:v>
      </x:c>
      <x:c r="F17" s="239" t="n">
        <x:f>COUNTIFS('Feature 1'!$U$12:$U$110,C17,'Feature 1'!$F$12:$F$110,"Not Tested")+COUNTIFS('Feature 2'!$U$12:$U$110,C17,'Feature 2'!$F$12:$F$110,"Not Tested")</x:f>
        <x:v>4</x:v>
      </x:c>
      <x:c r="G17" s="239" t="n">
        <x:f>COUNTIFS('Feature 1'!$U$12:$U$110,C17,'Feature 1'!$F$12:$F$110,"N/A")+COUNTIFS('Feature 2'!$U$12:$U$110,C17,'Feature 2'!$F$12:$F$110,"N/A")</x:f>
        <x:v>0</x:v>
      </x:c>
      <x:c r="H17" s="239" t="n">
        <x:f>SUM(D17:G17)</x:f>
        <x:v>8</x:v>
      </x:c>
    </x:row>
    <x:row r="18" ht="26" customHeight="1">
      <x:c r="B18" s="231" t="n">
        <x:v>8</x:v>
      </x:c>
      <x:c r="C18" s="228" t="str">
        <x:v>Profiles and readers</x:v>
      </x:c>
      <x:c r="D18" s="239" t="n">
        <x:f>COUNTIFS('Feature 1'!$U$12:$U$110,C18,'Feature 1'!$F$12:$F$110,"Passed")+COUNTIFS('Feature 2'!$U$12:$U$110,C18,'Feature 2'!$F$12:$F$110,"Passed")</x:f>
        <x:v>1</x:v>
      </x:c>
      <x:c r="E18" s="240" t="n">
        <x:f>COUNTIFS('Feature 1'!$U$12:$U$110,C18,'Feature 1'!$F$12:$F$110,"Failed")+COUNTIFS('Feature 2'!$U$12:$U$110,C18,'Feature 2'!$F$12:$F$110,"Failed")</x:f>
        <x:v>0</x:v>
      </x:c>
      <x:c r="F18" s="240" t="n">
        <x:f>COUNTIFS('Feature 1'!$U$12:$U$110,C18,'Feature 1'!$F$12:$F$110,"Not Tested")+COUNTIFS('Feature 2'!$U$12:$U$110,C18,'Feature 2'!$F$12:$F$110,"Not Tested")</x:f>
        <x:v>2</x:v>
      </x:c>
      <x:c r="G18" s="240" t="n">
        <x:f>COUNTIFS('Feature 1'!$U$12:$U$110,C18,'Feature 1'!$F$12:$F$110,"N/A")+COUNTIFS('Feature 2'!$U$12:$U$110,C18,'Feature 2'!$F$12:$F$110,"N/A")</x:f>
        <x:v>0</x:v>
      </x:c>
      <x:c r="H18" s="240" t="n">
        <x:f>SUM(D18:G18)</x:f>
        <x:v>3</x:v>
      </x:c>
    </x:row>
    <x:row r="19" ht="26" customHeight="1">
      <x:c r="B19" s="231" t="n">
        <x:v>9</x:v>
      </x:c>
      <x:c r="C19" s="229" t="str">
        <x:v>Reviews</x:v>
      </x:c>
      <x:c r="D19" s="240" t="n">
        <x:f>COUNTIFS('Feature 1'!$U$12:$U$110,C19,'Feature 1'!$F$12:$F$110,"Passed")+COUNTIFS('Feature 2'!$U$12:$U$110,C19,'Feature 2'!$F$12:$F$110,"Passed")</x:f>
        <x:v>2</x:v>
      </x:c>
      <x:c r="E19" s="240" t="n">
        <x:f>COUNTIFS('Feature 1'!$U$12:$U$110,C19,'Feature 1'!$F$12:$F$110,"Failed")+COUNTIFS('Feature 2'!$U$12:$U$110,C19,'Feature 2'!$F$12:$F$110,"Failed")</x:f>
        <x:v>0</x:v>
      </x:c>
      <x:c r="F19" s="240" t="n">
        <x:f>COUNTIFS('Feature 1'!$U$12:$U$110,C19,'Feature 1'!$F$12:$F$110,"Not Tested")+COUNTIFS('Feature 2'!$U$12:$U$110,C19,'Feature 2'!$F$12:$F$110,"Not Tested")</x:f>
        <x:v>1</x:v>
      </x:c>
      <x:c r="G19" s="240" t="n">
        <x:f>COUNTIFS('Feature 1'!$U$12:$U$110,C19,'Feature 1'!$F$12:$F$110,"N/A")+COUNTIFS('Feature 2'!$U$12:$U$110,C19,'Feature 2'!$F$12:$F$110,"N/A")</x:f>
        <x:v>0</x:v>
      </x:c>
      <x:c r="H19" s="240" t="n">
        <x:f>SUM(D19:G19)</x:f>
        <x:v>3</x:v>
      </x:c>
    </x:row>
    <x:row r="20" ht="26" customHeight="1">
      <x:c r="B20" s="231" t="n">
        <x:v>10</x:v>
      </x:c>
      <x:c r="C20" s="229" t="str">
        <x:v>Support</x:v>
      </x:c>
      <x:c r="D20" s="240" t="n">
        <x:f>COUNTIFS('Feature 1'!$U$12:$U$110,C20,'Feature 1'!$F$12:$F$110,"Passed")+COUNTIFS('Feature 2'!$U$12:$U$110,C20,'Feature 2'!$F$12:$F$110,"Passed")</x:f>
        <x:v>1</x:v>
      </x:c>
      <x:c r="E20" s="240" t="n">
        <x:f>COUNTIFS('Feature 1'!$U$12:$U$110,C20,'Feature 1'!$F$12:$F$110,"Failed")+COUNTIFS('Feature 2'!$U$12:$U$110,C20,'Feature 2'!$F$12:$F$110,"Failed")</x:f>
        <x:v>0</x:v>
      </x:c>
      <x:c r="F20" s="240" t="n">
        <x:f>COUNTIFS('Feature 1'!$U$12:$U$110,C20,'Feature 1'!$F$12:$F$110,"Not Tested")+COUNTIFS('Feature 2'!$U$12:$U$110,C20,'Feature 2'!$F$12:$F$110,"Not Tested")</x:f>
        <x:v>3</x:v>
      </x:c>
      <x:c r="G20" s="240" t="n">
        <x:f>COUNTIFS('Feature 1'!$U$12:$U$110,C20,'Feature 1'!$F$12:$F$110,"N/A")+COUNTIFS('Feature 2'!$U$12:$U$110,C20,'Feature 2'!$F$12:$F$110,"N/A")</x:f>
        <x:v>0</x:v>
      </x:c>
      <x:c r="H20" s="240" t="n">
        <x:f>SUM(D20:G20)</x:f>
        <x:v>4</x:v>
      </x:c>
    </x:row>
    <x:row r="21" ht="26" customHeight="1">
      <x:c r="B21" s="231" t="n">
        <x:v>11</x:v>
      </x:c>
      <x:c r="C21" s="229" t="str">
        <x:v>News and notifications</x:v>
      </x:c>
      <x:c r="D21" s="240" t="n">
        <x:f>COUNTIFS('Feature 1'!$U$12:$U$110,C21,'Feature 1'!$F$12:$F$110,"Passed")+COUNTIFS('Feature 2'!$U$12:$U$110,C21,'Feature 2'!$F$12:$F$110,"Passed")</x:f>
        <x:v>1</x:v>
      </x:c>
      <x:c r="E21" s="240" t="n">
        <x:f>COUNTIFS('Feature 1'!$U$12:$U$110,C21,'Feature 1'!$F$12:$F$110,"Failed")+COUNTIFS('Feature 2'!$U$12:$U$110,C21,'Feature 2'!$F$12:$F$110,"Failed")</x:f>
        <x:v>0</x:v>
      </x:c>
      <x:c r="F21" s="240" t="n">
        <x:f>COUNTIFS('Feature 1'!$U$12:$U$110,C21,'Feature 1'!$F$12:$F$110,"Not Tested")+COUNTIFS('Feature 2'!$U$12:$U$110,C21,'Feature 2'!$F$12:$F$110,"Not Tested")</x:f>
        <x:v>2</x:v>
      </x:c>
      <x:c r="G21" s="240" t="n">
        <x:f>COUNTIFS('Feature 1'!$U$12:$U$110,C21,'Feature 1'!$F$12:$F$110,"N/A")+COUNTIFS('Feature 2'!$U$12:$U$110,C21,'Feature 2'!$F$12:$F$110,"N/A")</x:f>
        <x:v>0</x:v>
      </x:c>
      <x:c r="H21" s="240" t="n">
        <x:f>SUM(D21:G21)</x:f>
        <x:v>3</x:v>
      </x:c>
    </x:row>
    <x:row r="22" ht="26" customHeight="1">
      <x:c r="B22" s="231" t="n">
        <x:v>12</x:v>
      </x:c>
      <x:c r="C22" s="229" t="str">
        <x:v>Users and permissions</x:v>
      </x:c>
      <x:c r="D22" s="240" t="n">
        <x:f>COUNTIFS('Feature 1'!$U$12:$U$110,C22,'Feature 1'!$F$12:$F$110,"Passed")+COUNTIFS('Feature 2'!$U$12:$U$110,C22,'Feature 2'!$F$12:$F$110,"Passed")</x:f>
        <x:v>1</x:v>
      </x:c>
      <x:c r="E22" s="240" t="n">
        <x:f>COUNTIFS('Feature 1'!$U$12:$U$110,C22,'Feature 1'!$F$12:$F$110,"Failed")+COUNTIFS('Feature 2'!$U$12:$U$110,C22,'Feature 2'!$F$12:$F$110,"Failed")</x:f>
        <x:v>0</x:v>
      </x:c>
      <x:c r="F22" s="240" t="n">
        <x:f>COUNTIFS('Feature 1'!$U$12:$U$110,C22,'Feature 1'!$F$12:$F$110,"Not Tested")+COUNTIFS('Feature 2'!$U$12:$U$110,C22,'Feature 2'!$F$12:$F$110,"Not Tested")</x:f>
        <x:v>2</x:v>
      </x:c>
      <x:c r="G22" s="240" t="n">
        <x:f>COUNTIFS('Feature 1'!$U$12:$U$110,C22,'Feature 1'!$F$12:$F$110,"N/A")+COUNTIFS('Feature 2'!$U$12:$U$110,C22,'Feature 2'!$F$12:$F$110,"N/A")</x:f>
        <x:v>0</x:v>
      </x:c>
      <x:c r="H22" s="240" t="n">
        <x:f>SUM(D22:G22)</x:f>
        <x:v>3</x:v>
      </x:c>
    </x:row>
    <x:row r="23" ht="26" customHeight="1">
      <x:c r="B23" s="231" t="n">
        <x:v>13</x:v>
      </x:c>
      <x:c r="C23" s="229" t="str">
        <x:v>Policies</x:v>
      </x:c>
      <x:c r="D23" s="240" t="n">
        <x:f>COUNTIFS('Feature 1'!$U$12:$U$110,C23,'Feature 1'!$F$12:$F$110,"Passed")+COUNTIFS('Feature 2'!$U$12:$U$110,C23,'Feature 2'!$F$12:$F$110,"Passed")</x:f>
        <x:v>1</x:v>
      </x:c>
      <x:c r="E23" s="240" t="n">
        <x:f>COUNTIFS('Feature 1'!$U$12:$U$110,C23,'Feature 1'!$F$12:$F$110,"Failed")+COUNTIFS('Feature 2'!$U$12:$U$110,C23,'Feature 2'!$F$12:$F$110,"Failed")</x:f>
        <x:v>0</x:v>
      </x:c>
      <x:c r="F23" s="240" t="n">
        <x:f>COUNTIFS('Feature 1'!$U$12:$U$110,C23,'Feature 1'!$F$12:$F$110,"Not Tested")+COUNTIFS('Feature 2'!$U$12:$U$110,C23,'Feature 2'!$F$12:$F$110,"Not Tested")</x:f>
        <x:v>2</x:v>
      </x:c>
      <x:c r="G23" s="240" t="n">
        <x:f>COUNTIFS('Feature 1'!$U$12:$U$110,C23,'Feature 1'!$F$12:$F$110,"N/A")+COUNTIFS('Feature 2'!$U$12:$U$110,C23,'Feature 2'!$F$12:$F$110,"N/A")</x:f>
        <x:v>0</x:v>
      </x:c>
      <x:c r="H23" s="240" t="n">
        <x:f>SUM(D23:G23)</x:f>
        <x:v>3</x:v>
      </x:c>
    </x:row>
    <x:row r="24" ht="26" customHeight="1">
      <x:c r="B24" s="231" t="n">
        <x:v>14</x:v>
      </x:c>
      <x:c r="C24" s="229" t="str">
        <x:v>AI configuration</x:v>
      </x:c>
      <x:c r="D24" s="240" t="n">
        <x:f>COUNTIFS('Feature 1'!$U$12:$U$110,C24,'Feature 1'!$F$12:$F$110,"Passed")+COUNTIFS('Feature 2'!$U$12:$U$110,C24,'Feature 2'!$F$12:$F$110,"Passed")</x:f>
        <x:v>1</x:v>
      </x:c>
      <x:c r="E24" s="240" t="n">
        <x:f>COUNTIFS('Feature 1'!$U$12:$U$110,C24,'Feature 1'!$F$12:$F$110,"Failed")+COUNTIFS('Feature 2'!$U$12:$U$110,C24,'Feature 2'!$F$12:$F$110,"Failed")</x:f>
        <x:v>0</x:v>
      </x:c>
      <x:c r="F24" s="240" t="n">
        <x:f>COUNTIFS('Feature 1'!$U$12:$U$110,C24,'Feature 1'!$F$12:$F$110,"Not Tested")+COUNTIFS('Feature 2'!$U$12:$U$110,C24,'Feature 2'!$F$12:$F$110,"Not Tested")</x:f>
        <x:v>2</x:v>
      </x:c>
      <x:c r="G24" s="240" t="n">
        <x:f>COUNTIFS('Feature 1'!$U$12:$U$110,C24,'Feature 1'!$F$12:$F$110,"N/A")+COUNTIFS('Feature 2'!$U$12:$U$110,C24,'Feature 2'!$F$12:$F$110,"N/A")</x:f>
        <x:v>0</x:v>
      </x:c>
      <x:c r="H24" s="240" t="n">
        <x:f>SUM(D24:G24)</x:f>
        <x:v>3</x:v>
      </x:c>
    </x:row>
    <x:row r="25" ht="26" customHeight="1">
      <x:c r="B25" s="231" t="n">
        <x:v>15</x:v>
      </x:c>
      <x:c r="C25" s="229" t="str">
        <x:v>AI search and recommendations</x:v>
      </x:c>
      <x:c r="D25" s="240" t="n">
        <x:f>COUNTIFS('Feature 1'!$U$12:$U$110,C25,'Feature 1'!$F$12:$F$110,"Passed")+COUNTIFS('Feature 2'!$U$12:$U$110,C25,'Feature 2'!$F$12:$F$110,"Passed")</x:f>
        <x:v>1</x:v>
      </x:c>
      <x:c r="E25" s="240" t="n">
        <x:f>COUNTIFS('Feature 1'!$U$12:$U$110,C25,'Feature 1'!$F$12:$F$110,"Failed")+COUNTIFS('Feature 2'!$U$12:$U$110,C25,'Feature 2'!$F$12:$F$110,"Failed")</x:f>
        <x:v>0</x:v>
      </x:c>
      <x:c r="F25" s="240" t="n">
        <x:f>COUNTIFS('Feature 1'!$U$12:$U$110,C25,'Feature 1'!$F$12:$F$110,"Not Tested")+COUNTIFS('Feature 2'!$U$12:$U$110,C25,'Feature 2'!$F$12:$F$110,"Not Tested")</x:f>
        <x:v>3</x:v>
      </x:c>
      <x:c r="G25" s="240" t="n">
        <x:f>COUNTIFS('Feature 1'!$U$12:$U$110,C25,'Feature 1'!$F$12:$F$110,"N/A")+COUNTIFS('Feature 2'!$U$12:$U$110,C25,'Feature 2'!$F$12:$F$110,"N/A")</x:f>
        <x:v>0</x:v>
      </x:c>
      <x:c r="H25" s="240" t="n">
        <x:f>SUM(D25:G25)</x:f>
        <x:v>4</x:v>
      </x:c>
    </x:row>
    <x:row r="26" ht="26" customHeight="1">
      <x:c r="B26" s="231" t="n">
        <x:v>16</x:v>
      </x:c>
      <x:c r="C26" s="229" t="str">
        <x:v>Reports and statistics</x:v>
      </x:c>
      <x:c r="D26" s="240" t="n">
        <x:f>COUNTIFS('Feature 1'!$U$12:$U$110,C26,'Feature 1'!$F$12:$F$110,"Passed")+COUNTIFS('Feature 2'!$U$12:$U$110,C26,'Feature 2'!$F$12:$F$110,"Passed")</x:f>
        <x:v>1</x:v>
      </x:c>
      <x:c r="E26" s="240" t="n">
        <x:f>COUNTIFS('Feature 1'!$U$12:$U$110,C26,'Feature 1'!$F$12:$F$110,"Failed")+COUNTIFS('Feature 2'!$U$12:$U$110,C26,'Feature 2'!$F$12:$F$110,"Failed")</x:f>
        <x:v>0</x:v>
      </x:c>
      <x:c r="F26" s="240" t="n">
        <x:f>COUNTIFS('Feature 1'!$U$12:$U$110,C26,'Feature 1'!$F$12:$F$110,"Not Tested")+COUNTIFS('Feature 2'!$U$12:$U$110,C26,'Feature 2'!$F$12:$F$110,"Not Tested")</x:f>
        <x:v>3</x:v>
      </x:c>
      <x:c r="G26" s="240" t="n">
        <x:f>COUNTIFS('Feature 1'!$U$12:$U$110,C26,'Feature 1'!$F$12:$F$110,"N/A")+COUNTIFS('Feature 2'!$U$12:$U$110,C26,'Feature 2'!$F$12:$F$110,"N/A")</x:f>
        <x:v>0</x:v>
      </x:c>
      <x:c r="H26" s="240" t="n">
        <x:f>SUM(D26:G26)</x:f>
        <x:v>4</x:v>
      </x:c>
    </x:row>
    <x:row r="27" ht="26" customHeight="1">
      <x:c r="B27" s="231" t="n">
        <x:v>17</x:v>
      </x:c>
      <x:c r="C27" s="229" t="str">
        <x:v>Performance</x:v>
      </x:c>
      <x:c r="D27" s="240" t="n">
        <x:f>COUNTIFS('Feature 1'!$U$12:$U$110,C27,'Feature 1'!$F$12:$F$110,"Passed")+COUNTIFS('Feature 2'!$U$12:$U$110,C27,'Feature 2'!$F$12:$F$110,"Passed")</x:f>
        <x:v>4</x:v>
      </x:c>
      <x:c r="E27" s="240" t="n">
        <x:f>COUNTIFS('Feature 1'!$U$12:$U$110,C27,'Feature 1'!$F$12:$F$110,"Failed")+COUNTIFS('Feature 2'!$U$12:$U$110,C27,'Feature 2'!$F$12:$F$110,"Failed")</x:f>
        <x:v>0</x:v>
      </x:c>
      <x:c r="F27" s="240" t="n">
        <x:f>COUNTIFS('Feature 1'!$U$12:$U$110,C27,'Feature 1'!$F$12:$F$110,"Not Tested")+COUNTIFS('Feature 2'!$U$12:$U$110,C27,'Feature 2'!$F$12:$F$110,"Not Tested")</x:f>
        <x:v>0</x:v>
      </x:c>
      <x:c r="G27" s="240" t="n">
        <x:f>COUNTIFS('Feature 1'!$U$12:$U$110,C27,'Feature 1'!$F$12:$F$110,"N/A")+COUNTIFS('Feature 2'!$U$12:$U$110,C27,'Feature 2'!$F$12:$F$110,"N/A")</x:f>
        <x:v>0</x:v>
      </x:c>
      <x:c r="H27" s="240" t="n">
        <x:f>SUM(D27:G27)</x:f>
        <x:v>4</x:v>
      </x:c>
    </x:row>
    <x:row r="28" ht="26" customHeight="1">
      <x:c r="B28" s="231"/>
      <x:c r="C28" s="229"/>
      <x:c r="D28" s="240"/>
      <x:c r="E28" s="240"/>
      <x:c r="F28" s="240"/>
      <x:c r="G28" s="240"/>
      <x:c r="H28" s="240"/>
    </x:row>
    <x:row r="29" ht="28" customHeight="1">
      <x:c r="B29" s="236"/>
      <x:c r="C29" s="237" t="str">
        <x:v>Sub total</x:v>
      </x:c>
      <x:c r="D29" s="241" t="n">
        <x:f>SUM(D11:D27)</x:f>
        <x:v>42</x:v>
      </x:c>
      <x:c r="E29" s="241" t="n">
        <x:f>SUM(E11:E27)</x:f>
        <x:v>3</x:v>
      </x:c>
      <x:c r="F29" s="241" t="n">
        <x:f>SUM(F11:F27)</x:f>
        <x:v>42</x:v>
      </x:c>
      <x:c r="G29" s="241" t="n">
        <x:f>SUM(G11:G27)</x:f>
        <x:v>0</x:v>
      </x:c>
      <x:c r="H29" s="241" t="n">
        <x:f>SUM(H11:H27)</x:f>
        <x:v>87</x:v>
      </x:c>
    </x:row>
    <x:row r="31">
      <x:c r="C31" t="str">
        <x:v>Executed / applicable cases</x:v>
      </x:c>
      <x:c r="E31" s="238" t="n">
        <x:f>IFERROR((D29+E29)/(H29-G29),0)</x:f>
        <x:v>0.5172413793103449</x:v>
      </x:c>
    </x:row>
    <x:row r="32">
      <x:c r="C32" t="str">
        <x:v>Passed / applicable cases</x:v>
      </x:c>
      <x:c r="E32" s="238" t="n">
        <x:f>IFERROR(D29/(H29-G29),0)</x:f>
        <x:v>0.4827586206896552</x:v>
      </x:c>
    </x:row>
  </x:sheetData>
  <x:mergeCells>
    <x:mergeCell ref="C5:D5"/>
    <x:mergeCell ref="E5:F5"/>
    <x:mergeCell ref="C6:H6"/>
    <x:mergeCell ref="B1:H1"/>
    <x:mergeCell ref="C3:D3"/>
    <x:mergeCell ref="E3:F3"/>
    <x:mergeCell ref="C4:D4"/>
    <x:mergeCell ref="E4:F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0" topLeftCell="C11" activePane="bottomRight" state="frozen"/>
    </x:sheetView>
  </x:sheetViews>
  <x:sheetFormatPr baseColWidth="10" defaultColWidth="9" defaultRowHeight="13"/>
  <x:cols>
    <x:col min="1" max="1" width="16" style="1" hidden="0" customWidth="1"/>
    <x:col min="2" max="2" width="44" style="1" hidden="0" customWidth="1"/>
    <x:col min="3" max="3" width="48" style="1" hidden="0" customWidth="1"/>
    <x:col min="4" max="4" width="48" style="1" hidden="0" customWidth="1"/>
    <x:col min="5" max="5" width="42" style="1" hidden="0" customWidth="1"/>
    <x:col min="6" max="6" width="14" style="1" hidden="0" customWidth="1"/>
    <x:col min="7" max="7" width="13" style="1" hidden="0" customWidth="1"/>
    <x:col min="8" max="8" width="20" style="29" hidden="0" customWidth="1"/>
    <x:col min="9" max="9" width="14" style="1" hidden="0" customWidth="1"/>
    <x:col min="10" max="10" width="13" style="1" hidden="0" customWidth="1"/>
    <x:col min="11" max="11" width="20" style="29" hidden="0" customWidth="1"/>
    <x:col min="12" max="12" width="14" style="1" hidden="0" customWidth="1"/>
    <x:col min="13" max="13" width="13" style="1" hidden="0" customWidth="1"/>
    <x:col min="14" max="14" width="20" style="29" hidden="0" customWidth="1"/>
    <x:col min="15" max="15" width="36" style="29" hidden="0" customWidth="1"/>
    <x:col min="16" max="16" width="48" style="1" hidden="0" customWidth="1"/>
    <x:col min="17" max="17" width="22" style="30" hidden="0" customWidth="1"/>
    <x:col min="18" max="18" width="48" style="1" hidden="0" customWidth="1"/>
    <x:col min="19" max="16384" width="9" style="1" customWidth="0"/>
    <x:col min="21" max="21" width="30" hidden="0" customWidth="1"/>
    <x:col min="19" max="19" width="40" hidden="0" customWidth="1"/>
    <x:col min="20" max="20" width="26" hidden="0" customWidth="1"/>
  </x:cols>
  <x:sheetData>
    <x:row r="1" ht="14"/>
    <x:row r="2" s="32" customFormat="1" ht="15" customHeight="1">
      <x:c r="A2" s="99" t="s">
        <x:v>23</x:v>
      </x:c>
      <x:c r="B2" s="109" t="str">
        <x:v>Executed API integration and local NFR / skipped placeholders</x:v>
      </x:c>
      <x:c r="C2" s="109"/>
      <x:c r="D2" s="109"/>
      <x:c r="E2" s="110"/>
      <x:c r="F2" s="89"/>
      <x:c r="G2" s="83"/>
      <x:c r="H2" s="33"/>
      <x:c r="I2" s="89"/>
      <x:c r="J2" s="83"/>
      <x:c r="K2" s="33"/>
      <x:c r="L2" s="89"/>
      <x:c r="M2" s="83"/>
      <x:c r="N2" s="33"/>
      <x:c r="O2" s="33"/>
      <x:c r="P2" s="9"/>
      <x:c r="Q2" s="31"/>
      <x:c r="R2" s="32" t="s">
        <x:v>24</x:v>
      </x:c>
    </x:row>
    <x:row r="3" s="32" customFormat="1" ht="42" customHeight="1">
      <x:c r="A3" s="100" t="s">
        <x:v>25</x:v>
      </x:c>
      <x:c r="B3" s="163" t="str">
        <x:v>Temporary case IDs; requirement references use Report 3 UC numbering. Pass at case level is not feature acceptance.</x:v>
      </x:c>
      <x:c r="C3" s="163"/>
      <x:c r="D3" s="163"/>
      <x:c r="E3" s="164"/>
      <x:c r="F3" s="89"/>
      <x:c r="G3" s="83"/>
      <x:c r="H3" s="33"/>
      <x:c r="I3" s="89"/>
      <x:c r="J3" s="83"/>
      <x:c r="K3" s="33"/>
      <x:c r="L3" s="89"/>
      <x:c r="M3" s="83"/>
      <x:c r="N3" s="33"/>
      <x:c r="O3" s="33"/>
      <x:c r="P3" s="9"/>
      <x:c r="Q3" s="31"/>
      <x:c r="R3" s="32" t="s">
        <x:v>26</x:v>
      </x:c>
    </x:row>
    <x:row r="4" s="32" customFormat="1" ht="18" customHeight="1">
      <x:c r="A4" s="100" t="s">
        <x:v>27</x:v>
      </x:c>
      <x:c r="B4" s="111" t="n">
        <x:f>COUNTA(A12:A60)</x:f>
        <x:v>49</x:v>
      </x:c>
      <x:c r="C4" s="111"/>
      <x:c r="D4" s="111"/>
      <x:c r="E4" s="112"/>
      <x:c r="F4" s="89"/>
      <x:c r="G4" s="83"/>
      <x:c r="H4" s="33"/>
      <x:c r="I4" s="89"/>
      <x:c r="J4" s="83"/>
      <x:c r="K4" s="33"/>
      <x:c r="L4" s="89"/>
      <x:c r="M4" s="83"/>
      <x:c r="N4" s="33"/>
      <x:c r="O4" s="33"/>
      <x:c r="P4" s="9"/>
      <x:c r="Q4" s="31"/>
      <x:c r="R4" s="32" t="s">
        <x:v>28</x:v>
      </x:c>
    </x:row>
    <x:row r="5" s="32" customFormat="1" ht="19.5" customHeight="1">
      <x:c r="A5" s="93" t="s">
        <x:v>29</x:v>
      </x:c>
      <x:c r="B5" s="91" t="str">
        <x:v>Passed</x:v>
      </x:c>
      <x:c r="C5" s="91" t="str">
        <x:v>Failed</x:v>
      </x:c>
      <x:c r="D5" s="91" t="str">
        <x:v>Not Tested</x:v>
      </x:c>
      <x:c r="E5" s="94" t="str">
        <x:v>N/A</x:v>
      </x:c>
      <x:c r="F5" s="84"/>
      <x:c r="G5" s="84"/>
      <x:c r="H5" s="34"/>
      <x:c r="I5" s="84"/>
      <x:c r="J5" s="84"/>
      <x:c r="K5" s="34"/>
      <x:c r="L5" s="84"/>
      <x:c r="M5" s="84"/>
      <x:c r="N5" s="34"/>
      <x:c r="O5" s="34"/>
      <x:c r="P5" s="34"/>
      <x:c r="Q5" s="35"/>
      <x:c r="R5" s="32" t="s">
        <x:v>30</x:v>
      </x:c>
    </x:row>
    <x:row r="6" s="32" customFormat="1" ht="15" customHeight="1">
      <x:c r="A6" s="93" t="s">
        <x:v>31</x:v>
      </x:c>
      <x:c r="B6" s="92" t="n">
        <x:f>COUNTIF($F$12:$F$60,B$5)</x:f>
        <x:v>42</x:v>
      </x:c>
      <x:c r="C6" s="92" t="n">
        <x:f t="shared" ref="C6:E6" si="0">COUNTIF($F$12:$F$60,C$5)</x:f>
        <x:v>3</x:v>
      </x:c>
      <x:c r="D6" s="92" t="n">
        <x:f t="shared" si="0">COUNTIF($F$12:$F$60,D$5)</x:f>
        <x:v>4</x:v>
      </x:c>
      <x:c r="E6" s="98" t="n">
        <x:f t="shared" si="0">COUNTIF($F$12:$F$60,E$5)</x:f>
        <x:v>0</x:v>
      </x:c>
      <x:c r="F6" s="85"/>
      <x:c r="G6" s="85"/>
      <x:c r="H6" s="34"/>
      <x:c r="I6" s="85"/>
      <x:c r="J6" s="85"/>
      <x:c r="K6" s="34"/>
      <x:c r="L6" s="85"/>
      <x:c r="M6" s="85"/>
      <x:c r="N6" s="34"/>
      <x:c r="O6" s="34"/>
      <x:c r="P6" s="34"/>
      <x:c r="Q6" s="35"/>
    </x:row>
    <x:row r="7" s="32" customFormat="1" ht="15" customHeight="1">
      <x:c r="A7" s="93" t="s">
        <x:v>32</x:v>
      </x:c>
      <x:c r="B7" s="92" t="n">
        <x:f>COUNTIF($I$12:$I$60,B$5)</x:f>
        <x:v>0</x:v>
      </x:c>
      <x:c r="C7" s="92" t="n">
        <x:f t="shared" ref="C7:E7" si="1">COUNTIF($I$12:$I$60,C$5)</x:f>
        <x:v>0</x:v>
      </x:c>
      <x:c r="D7" s="92" t="n">
        <x:f t="shared" si="1">COUNTIF($I$12:$I$60,D$5)</x:f>
        <x:v>49</x:v>
      </x:c>
      <x:c r="E7" s="98" t="n">
        <x:f t="shared" si="1">COUNTIF($I$12:$I$60,E$5)</x:f>
        <x:v>0</x:v>
      </x:c>
      <x:c r="F7" s="85"/>
      <x:c r="G7" s="85"/>
      <x:c r="H7" s="34"/>
      <x:c r="I7" s="85"/>
      <x:c r="J7" s="85"/>
      <x:c r="K7" s="34"/>
      <x:c r="L7" s="85"/>
      <x:c r="M7" s="85"/>
      <x:c r="N7" s="34"/>
      <x:c r="O7" s="34"/>
      <x:c r="P7" s="34"/>
      <x:c r="Q7" s="35"/>
    </x:row>
    <x:row r="8" s="32" customFormat="1" ht="15" customHeight="1">
      <x:c r="A8" s="95" t="s">
        <x:v>33</x:v>
      </x:c>
      <x:c r="B8" s="96" t="n">
        <x:f>COUNTIF($L$12:$L$60,B$5)</x:f>
        <x:v>0</x:v>
      </x:c>
      <x:c r="C8" s="96" t="n">
        <x:f t="shared" ref="C8:E8" si="2">COUNTIF($L$12:$L$60,C$5)</x:f>
        <x:v>0</x:v>
      </x:c>
      <x:c r="D8" s="96" t="n">
        <x:f t="shared" si="2">COUNTIF($L$12:$L$60,D$5)</x:f>
        <x:v>49</x:v>
      </x:c>
      <x:c r="E8" s="97" t="n">
        <x:f t="shared" si="2">COUNTIF($L$12:$L$60,E$5)</x:f>
        <x:v>0</x:v>
      </x:c>
      <x:c r="F8" s="85"/>
      <x:c r="G8" s="85"/>
      <x:c r="H8" s="34"/>
      <x:c r="I8" s="85"/>
      <x:c r="J8" s="85"/>
      <x:c r="K8" s="34"/>
      <x:c r="L8" s="85"/>
      <x:c r="M8" s="85"/>
      <x:c r="N8" s="34"/>
      <x:c r="O8" s="34"/>
      <x:c r="P8" s="34"/>
      <x:c r="Q8" s="35"/>
    </x:row>
    <x:row r="9" s="32" customFormat="1" ht="15" customHeight="1">
      <x:c r="A9" s="34"/>
      <x:c r="B9" s="34"/>
      <x:c r="C9" s="34"/>
      <x:c r="D9" s="34"/>
      <x:c r="E9" s="34"/>
      <x:c r="F9" s="36"/>
      <x:c r="G9" s="34"/>
      <x:c r="H9" s="34"/>
      <x:c r="I9" s="36"/>
      <x:c r="J9" s="34"/>
      <x:c r="K9" s="34"/>
      <x:c r="L9" s="36"/>
      <x:c r="M9" s="34"/>
      <x:c r="N9" s="34"/>
      <x:c r="O9" s="34"/>
      <x:c r="P9" s="34"/>
      <x:c r="Q9" s="35"/>
    </x:row>
    <x:row r="10" s="32" customFormat="1" ht="32" customHeight="1">
      <x:c r="A10" s="172" t="str">
        <x:v>Test Case ID</x:v>
      </x:c>
      <x:c r="B10" s="172" t="str">
        <x:v>Test Case Description</x:v>
      </x:c>
      <x:c r="C10" s="172" t="str">
        <x:v>Test Case Procedure</x:v>
      </x:c>
      <x:c r="D10" s="172" t="str">
        <x:v>Expected Results</x:v>
      </x:c>
      <x:c r="E10" s="172" t="str">
        <x:v>Preconditions</x:v>
      </x:c>
      <x:c r="F10" s="172" t="str">
        <x:v>Round 1</x:v>
      </x:c>
      <x:c r="G10" s="172" t="str">
        <x:v>Test date</x:v>
      </x:c>
      <x:c r="H10" s="172" t="str">
        <x:v>Tester</x:v>
      </x:c>
      <x:c r="I10" s="172" t="str">
        <x:v>Round 2</x:v>
      </x:c>
      <x:c r="J10" s="172" t="str">
        <x:v>Test date</x:v>
      </x:c>
      <x:c r="K10" s="172" t="str">
        <x:v>Tester</x:v>
      </x:c>
      <x:c r="L10" s="172" t="str">
        <x:v>Round 3</x:v>
      </x:c>
      <x:c r="M10" s="172" t="str">
        <x:v>Test date</x:v>
      </x:c>
      <x:c r="N10" s="172" t="str">
        <x:v>Tester</x:v>
      </x:c>
      <x:c r="O10" s="172" t="str">
        <x:v>Note / defect</x:v>
      </x:c>
      <x:c r="P10" s="173" t="str">
        <x:v>Actual result</x:v>
      </x:c>
      <x:c r="Q10" s="174" t="str">
        <x:v>Requirement</x:v>
      </x:c>
      <x:c r="R10" s="173" t="str">
        <x:v>Evidence</x:v>
      </x:c>
      <x:c r="S10" s="173" t="str">
        <x:v>Test data</x:v>
      </x:c>
      <x:c r="T10" s="173" t="str">
        <x:v>Level / mode</x:v>
      </x:c>
      <x:c r="U10" s="173" t="str">
        <x:v>Feature group</x:v>
      </x:c>
    </x:row>
    <x:row r="11" s="32" customFormat="1" ht="15.75" customHeight="1">
      <x:c r="A11" s="86"/>
      <x:c r="B11" s="86"/>
      <x:c r="C11" s="87"/>
      <x:c r="D11" s="87"/>
      <x:c r="E11" s="87"/>
      <x:c r="F11" s="87"/>
      <x:c r="G11" s="87"/>
      <x:c r="H11" s="87"/>
      <x:c r="I11" s="87"/>
      <x:c r="J11" s="87"/>
      <x:c r="K11" s="87"/>
      <x:c r="L11" s="87"/>
      <x:c r="M11" s="87"/>
      <x:c r="N11" s="87"/>
      <x:c r="O11" s="88"/>
      <x:c r="Q11" s="41"/>
    </x:row>
    <x:row r="12" s="47" customFormat="1" ht="60" customHeight="1">
      <x:c r="A12" s="190" t="str">
        <x:v>ST-01-3</x:v>
      </x:c>
      <x:c r="B12" s="191" t="str">
        <x:v>Identity — Permission</x:v>
      </x:c>
      <x:c r="C12" s="191" t="str">
        <x:v>Reader attempts registration approval API.</x:v>
      </x:c>
      <x:c r="D12" s="192" t="str">
        <x:v>Deny staff-only action; request remains unchanged.</x:v>
      </x:c>
      <x:c r="E12" s="192" t="str">
        <x:v>WorkflowFixture: disposable localhost PostgreSQL; real controllers/services/EF; synthetic identity headers and mocked external providers.</x:v>
      </x:c>
      <x:c r="F12" s="190" t="str">
        <x:v>Passed</x:v>
      </x:c>
      <x:c r="G12" s="190" t="str">
        <x:v>2026-10-27</x:v>
      </x:c>
      <x:c r="H12" s="190" t="str">
        <x:v>xUnit API automation</x:v>
      </x:c>
      <x:c r="I12" s="190" t="str">
        <x:v>Not Tested</x:v>
      </x:c>
      <x:c r="J12" s="190" t="str"/>
      <x:c r="K12" s="190" t="str"/>
      <x:c r="L12" s="190" t="str">
        <x:v>Not Tested</x:v>
      </x:c>
      <x:c r="M12" s="190" t="str"/>
      <x:c r="N12" s="190" t="str"/>
      <x:c r="O12" s="190" t="str">
        <x:v>API-level only; not browser E2E. Some tests reuse existing workflow helpers; not independent feature-acceptance evidence.</x:v>
      </x:c>
      <x:c r="P12" s="194" t="str">
        <x:v>All assertions in the referenced API test completed successfully.</x:v>
      </x:c>
      <x:c r="Q12" s="194" t="str">
        <x:v>UC01, UC02, UC03, UC18</x:v>
      </x:c>
      <x:c r="R12" s="194" t="str">
        <x:v>evidence/planned-api/planned-api.trx :: SmartLibrary.IntegrationTests.Report5PlannedTests.ST_01_3_ReaderCannotApprove</x:v>
      </x:c>
      <x:c r="S12" s="194" t="str">
        <x:v>Synthetic records created per test; exact payloads and assertions in Report5PlannedTests.cs. No shared user data.</x:v>
      </x:c>
      <x:c r="T12" s="194" t="str">
        <x:v>API scenario execution (provider/auth doubles)</x:v>
      </x:c>
      <x:c r="U12" s="194" t="str">
        <x:v>Identity</x:v>
      </x:c>
    </x:row>
    <x:row r="13" ht="60" customHeight="1">
      <x:c r="A13" s="190" t="str">
        <x:v>ST-02-2</x:v>
      </x:c>
      <x:c r="B13" s="190" t="str">
        <x:v>Catalog — Validation / exception</x:v>
      </x:c>
      <x:c r="C13" s="190" t="str">
        <x:v>Intake 0 and 501 copies; submit duplicate book code.</x:v>
      </x:c>
      <x:c r="D13" s="195" t="str">
        <x:v>Reject quantity outside 1–500 and conflicting code; do not change inventory.</x:v>
      </x:c>
      <x:c r="E13" s="195" t="str">
        <x:v>WorkflowFixture: disposable localhost PostgreSQL; real controllers/services/EF; synthetic identity headers and mocked external providers.</x:v>
      </x:c>
      <x:c r="F13" s="190" t="str">
        <x:v>Passed</x:v>
      </x:c>
      <x:c r="G13" s="190" t="str">
        <x:v>2026-10-27</x:v>
      </x:c>
      <x:c r="H13" s="190" t="str">
        <x:v>xUnit API automation</x:v>
      </x:c>
      <x:c r="I13" s="190" t="str">
        <x:v>Not Tested</x:v>
      </x:c>
      <x:c r="J13" s="190" t="str"/>
      <x:c r="K13" s="190" t="str"/>
      <x:c r="L13" s="190" t="str">
        <x:v>Not Tested</x:v>
      </x:c>
      <x:c r="M13" s="190" t="str"/>
      <x:c r="N13" s="190" t="str"/>
      <x:c r="O13" s="190" t="str">
        <x:v>API-level only; not browser E2E. Some tests reuse existing workflow helpers; not independent feature-acceptance evidence.</x:v>
      </x:c>
      <x:c r="P13" s="194" t="str">
        <x:v>All assertions in the referenced API test completed successfully.</x:v>
      </x:c>
      <x:c r="Q13" s="194" t="str">
        <x:v>UC04, UC05, UC28, UC29</x:v>
      </x:c>
      <x:c r="R13" s="194" t="str">
        <x:v>evidence/planned-api/planned-api.trx :: SmartLibrary.IntegrationTests.Report5PlannedTests.ST_02_2_InvalidIntakeAndDuplicateCode</x:v>
      </x:c>
      <x:c r="S13" s="194" t="str">
        <x:v>Synthetic records created per test; exact payloads and assertions in Report5PlannedTests.cs. No shared user data.</x:v>
      </x:c>
      <x:c r="T13" s="194" t="str">
        <x:v>API scenario execution (provider/auth doubles)</x:v>
      </x:c>
      <x:c r="U13" s="194" t="str">
        <x:v>Catalog</x:v>
      </x:c>
    </x:row>
    <x:row r="14" ht="60" customHeight="1">
      <x:c r="A14" s="190" t="str">
        <x:v>ST-02-3</x:v>
      </x:c>
      <x:c r="B14" s="190" t="str">
        <x:v>Catalog — Permission</x:v>
      </x:c>
      <x:c r="C14" s="190" t="str">
        <x:v>Reader attempts to create or update inventory.</x:v>
      </x:c>
      <x:c r="D14" s="195" t="str">
        <x:v>Deny unauthorized inventory mutations. UC29 import-ticket CRUD requires separate scope verification.</x:v>
      </x:c>
      <x:c r="E14" s="195" t="str">
        <x:v>WorkflowFixture: disposable localhost PostgreSQL; real controllers/services/EF; synthetic identity headers and mocked external providers.</x:v>
      </x:c>
      <x:c r="F14" s="190" t="str">
        <x:v>Failed</x:v>
      </x:c>
      <x:c r="G14" s="190" t="str">
        <x:v>2026-10-27</x:v>
      </x:c>
      <x:c r="H14" s="190" t="str">
        <x:v>xUnit API automation</x:v>
      </x:c>
      <x:c r="I14" s="190" t="str">
        <x:v>Not Tested</x:v>
      </x:c>
      <x:c r="J14" s="190" t="str"/>
      <x:c r="K14" s="190" t="str"/>
      <x:c r="L14" s="190" t="str">
        <x:v>Not Tested</x:v>
      </x:c>
      <x:c r="M14" s="190" t="str"/>
      <x:c r="N14" s="190" t="str"/>
      <x:c r="O14" s="190" t="str">
        <x:v>R5-DEF-002: Reader form-create HTTP 201 and book persisted.</x:v>
      </x:c>
      <x:c r="P14" s="194" t="str">
        <x:v>Reader form-create: HTTP 201; persisted=True. Expected 403 and no new book.</x:v>
      </x:c>
      <x:c r="Q14" s="194" t="str">
        <x:v>UC04, UC05, UC28, UC29</x:v>
      </x:c>
      <x:c r="R14" s="194" t="str">
        <x:v>evidence/planned-api/planned-api.trx :: SmartLibrary.IntegrationTests.Report5PlannedTests.ST_02_3_ReaderCannotMutateInventory</x:v>
      </x:c>
      <x:c r="S14" s="194" t="str">
        <x:v>Synthetic records created per test; exact payloads and assertions in Report5PlannedTests.cs. No shared user data.</x:v>
      </x:c>
      <x:c r="T14" s="194" t="str">
        <x:v>API scenario execution (provider/auth doubles)</x:v>
      </x:c>
      <x:c r="U14" s="194" t="str">
        <x:v>Catalog</x:v>
      </x:c>
    </x:row>
    <x:row r="15" s="32" customFormat="1" ht="60" customHeight="1">
      <x:c r="A15" s="210" t="str">
        <x:v>ST-03-1</x:v>
      </x:c>
      <x:c r="B15" s="211" t="str">
        <x:v>Borrow — Main flow</x:v>
      </x:c>
      <x:c r="C15" s="212" t="str">
        <x:v>Choose available book and valid pickup slot; submit; librarian approves then checks out.</x:v>
      </x:c>
      <x:c r="D15" s="212" t="str">
        <x:v>Pending holds a copy; Approved is not Borrowed; handoff sets Borrowed and due dates.</x:v>
      </x:c>
      <x:c r="E15" s="212" t="str">
        <x:v>WorkflowFixture: disposable localhost PostgreSQL; real controllers/services/EF; synthetic identity headers and mocked external providers.</x:v>
      </x:c>
      <x:c r="F15" s="212" t="str">
        <x:v>Passed</x:v>
      </x:c>
      <x:c r="G15" s="212" t="str">
        <x:v>2026-10-27</x:v>
      </x:c>
      <x:c r="H15" s="212" t="str">
        <x:v>xUnit API automation</x:v>
      </x:c>
      <x:c r="I15" s="212" t="str">
        <x:v>Not Tested</x:v>
      </x:c>
      <x:c r="J15" s="212" t="str"/>
      <x:c r="K15" s="212" t="str"/>
      <x:c r="L15" s="212" t="str">
        <x:v>Not Tested</x:v>
      </x:c>
      <x:c r="M15" s="212" t="str"/>
      <x:c r="N15" s="212" t="str"/>
      <x:c r="O15" s="213" t="str">
        <x:v>API-level only; not browser E2E. Some tests reuse existing workflow helpers; not independent feature-acceptance evidence.</x:v>
      </x:c>
      <x:c r="P15" s="194" t="str">
        <x:v>All assertions in the referenced API test completed successfully.</x:v>
      </x:c>
      <x:c r="Q15" s="214" t="str">
        <x:v>UC08, UC22, UC23</x:v>
      </x:c>
      <x:c r="R15" s="194" t="str">
        <x:v>evidence/planned-api/planned-api.trx :: SmartLibrary.IntegrationTests.Report5PlannedTests.ST_03_1_BorrowAndHandover</x:v>
      </x:c>
      <x:c r="S15" s="194" t="str">
        <x:v>Synthetic records created per test; exact payloads and assertions in Report5PlannedTests.cs. No shared user data.</x:v>
      </x:c>
      <x:c r="T15" s="194" t="str">
        <x:v>API scenario execution (provider/auth doubles)</x:v>
      </x:c>
      <x:c r="U15" s="194" t="str">
        <x:v>Borrow</x:v>
      </x:c>
    </x:row>
    <x:row r="16" ht="60" customHeight="1">
      <x:c r="A16" s="190" t="str">
        <x:v>ST-03-2</x:v>
      </x:c>
      <x:c r="B16" s="190" t="str">
        <x:v>Borrow — Validation / exception</x:v>
      </x:c>
      <x:c r="C16" s="190" t="str">
        <x:v>Submit a past pickup slot or two simultaneous requests for the last copy.</x:v>
      </x:c>
      <x:c r="D16" s="190" t="str">
        <x:v>Reject invalid slot; at most one last-copy request succeeds.</x:v>
      </x:c>
      <x:c r="E16" s="190" t="str">
        <x:v>WorkflowFixture: disposable localhost PostgreSQL; real controllers/services/EF; synthetic identity headers and mocked external providers.</x:v>
      </x:c>
      <x:c r="F16" s="190" t="str">
        <x:v>Passed</x:v>
      </x:c>
      <x:c r="G16" s="190" t="str">
        <x:v>2026-10-27</x:v>
      </x:c>
      <x:c r="H16" s="190" t="str">
        <x:v>xUnit API automation</x:v>
      </x:c>
      <x:c r="I16" s="190" t="str">
        <x:v>Not Tested</x:v>
      </x:c>
      <x:c r="J16" s="190" t="str"/>
      <x:c r="K16" s="190" t="str"/>
      <x:c r="L16" s="190" t="str">
        <x:v>Not Tested</x:v>
      </x:c>
      <x:c r="M16" s="190" t="str"/>
      <x:c r="N16" s="190" t="str"/>
      <x:c r="O16" s="190" t="str">
        <x:v>API-level only; not browser E2E. Some tests reuse existing workflow helpers; not independent feature-acceptance evidence.</x:v>
      </x:c>
      <x:c r="P16" s="194" t="str">
        <x:v>All assertions in the referenced API test completed successfully.</x:v>
      </x:c>
      <x:c r="Q16" s="194" t="str">
        <x:v>UC08, UC22, UC23</x:v>
      </x:c>
      <x:c r="R16" s="194" t="str">
        <x:v>evidence/planned-api/planned-api.trx :: SmartLibrary.IntegrationTests.Report5PlannedTests.ST_03_2_PastSlotAndLastCopyRace</x:v>
      </x:c>
      <x:c r="S16" s="194" t="str">
        <x:v>Synthetic records created per test; exact payloads and assertions in Report5PlannedTests.cs. No shared user data.</x:v>
      </x:c>
      <x:c r="T16" s="194" t="str">
        <x:v>API scenario execution (provider/auth doubles)</x:v>
      </x:c>
      <x:c r="U16" s="194" t="str">
        <x:v>Borrow</x:v>
      </x:c>
    </x:row>
    <x:row r="17" ht="60" customHeight="1">
      <x:c r="A17" s="190" t="str">
        <x:v>ST-03-3</x:v>
      </x:c>
      <x:c r="B17" s="190" t="str">
        <x:v>Borrow — Permission</x:v>
      </x:c>
      <x:c r="C17" s="190" t="str">
        <x:v>Anonymous user or Reader opens staff loans endpoint.</x:v>
      </x:c>
      <x:c r="D17" s="190" t="str">
        <x:v>Return 401 for anonymous and 403 for Reader.</x:v>
      </x:c>
      <x:c r="E17" s="190" t="str">
        <x:v>WorkflowFixture: disposable localhost PostgreSQL; real controllers/services/EF; synthetic identity headers and mocked external providers.</x:v>
      </x:c>
      <x:c r="F17" s="190" t="str">
        <x:v>Passed</x:v>
      </x:c>
      <x:c r="G17" s="190" t="str">
        <x:v>2026-10-27</x:v>
      </x:c>
      <x:c r="H17" s="190" t="str">
        <x:v>xUnit API automation</x:v>
      </x:c>
      <x:c r="I17" s="190" t="str">
        <x:v>Not Tested</x:v>
      </x:c>
      <x:c r="J17" s="190" t="str"/>
      <x:c r="K17" s="190" t="str"/>
      <x:c r="L17" s="190" t="str">
        <x:v>Not Tested</x:v>
      </x:c>
      <x:c r="M17" s="190" t="str"/>
      <x:c r="N17" s="190" t="str"/>
      <x:c r="O17" s="190" t="str">
        <x:v>API-level only; not browser E2E. Some tests reuse existing workflow helpers; not independent feature-acceptance evidence.</x:v>
      </x:c>
      <x:c r="P17" s="194" t="str">
        <x:v>All assertions in the referenced API test completed successfully.</x:v>
      </x:c>
      <x:c r="Q17" s="194" t="str">
        <x:v>UC08, UC22, UC23</x:v>
      </x:c>
      <x:c r="R17" s="194" t="str">
        <x:v>evidence/planned-api/planned-api.trx :: SmartLibrary.IntegrationTests.Report5PlannedTests.ST_03_3_StaffLoansAuthorization</x:v>
      </x:c>
      <x:c r="S17" s="194" t="str">
        <x:v>Synthetic records created per test; exact payloads and assertions in Report5PlannedTests.cs. No shared user data.</x:v>
      </x:c>
      <x:c r="T17" s="194" t="str">
        <x:v>API scenario execution (provider/auth doubles)</x:v>
      </x:c>
      <x:c r="U17" s="194" t="str">
        <x:v>Borrow</x:v>
      </x:c>
    </x:row>
    <x:row r="18" s="32" customFormat="1" ht="60" customHeight="1">
      <x:c r="A18" s="210" t="str">
        <x:v>ST-04-1</x:v>
      </x:c>
      <x:c r="B18" s="211" t="str">
        <x:v>Return and incidents — Main flow</x:v>
      </x:c>
      <x:c r="C18" s="212" t="str">
        <x:v>Return overdue copy; inspect Good, Damaged and Lost conditions in separate runs.</x:v>
      </x:c>
      <x:c r="D18" s="212" t="str">
        <x:v>Good creates overdue fine and releases copy; Lost/Damaged opens PendingReview incident and keeps copy unavailable.</x:v>
      </x:c>
      <x:c r="E18" s="212" t="str">
        <x:v>WorkflowFixture: disposable localhost PostgreSQL; real controllers/services/EF; synthetic identity headers and mocked external providers.</x:v>
      </x:c>
      <x:c r="F18" s="212" t="str">
        <x:v>Passed</x:v>
      </x:c>
      <x:c r="G18" s="212" t="str">
        <x:v>2026-10-27</x:v>
      </x:c>
      <x:c r="H18" s="212" t="str">
        <x:v>xUnit API automation</x:v>
      </x:c>
      <x:c r="I18" s="212" t="str">
        <x:v>Not Tested</x:v>
      </x:c>
      <x:c r="J18" s="212" t="str"/>
      <x:c r="K18" s="212" t="str"/>
      <x:c r="L18" s="212" t="str">
        <x:v>Not Tested</x:v>
      </x:c>
      <x:c r="M18" s="212" t="str"/>
      <x:c r="N18" s="212" t="str"/>
      <x:c r="O18" s="213" t="str">
        <x:v>API-level only; not browser E2E. Some tests reuse existing workflow helpers; not independent feature-acceptance evidence.</x:v>
      </x:c>
      <x:c r="P18" s="194" t="str">
        <x:v>All assertions in the referenced API test completed successfully.</x:v>
      </x:c>
      <x:c r="Q18" s="214" t="str">
        <x:v>UC24, UC26</x:v>
      </x:c>
      <x:c r="R18" s="194" t="str">
        <x:v>evidence/planned-api/planned-api.trx :: SmartLibrary.IntegrationTests.Report5PlannedTests.ST_04_1_ReturnConditions</x:v>
      </x:c>
      <x:c r="S18" s="194" t="str">
        <x:v>Synthetic records created per test; exact payloads and assertions in Report5PlannedTests.cs. No shared user data.</x:v>
      </x:c>
      <x:c r="T18" s="194" t="str">
        <x:v>API scenario execution (provider/auth doubles)</x:v>
      </x:c>
      <x:c r="U18" s="194" t="str">
        <x:v>Return and incidents</x:v>
      </x:c>
    </x:row>
    <x:row r="19" ht="60" customHeight="1">
      <x:c r="A19" s="190" t="str">
        <x:v>ST-04-2</x:v>
      </x:c>
      <x:c r="B19" s="190" t="str">
        <x:v>Return and incidents — Validation / exception</x:v>
      </x:c>
      <x:c r="C19" s="190" t="str">
        <x:v>Return an already returned barcode.</x:v>
      </x:c>
      <x:c r="D19" s="190" t="str">
        <x:v>Reject duplicate return without duplicate fine or inventory increment.</x:v>
      </x:c>
      <x:c r="E19" s="190" t="str">
        <x:v>WorkflowFixture: disposable localhost PostgreSQL; real controllers/services/EF; synthetic identity headers and mocked external providers.</x:v>
      </x:c>
      <x:c r="F19" s="190" t="str">
        <x:v>Passed</x:v>
      </x:c>
      <x:c r="G19" s="190" t="str">
        <x:v>2026-10-27</x:v>
      </x:c>
      <x:c r="H19" s="190" t="str">
        <x:v>xUnit API automation</x:v>
      </x:c>
      <x:c r="I19" s="190" t="str">
        <x:v>Not Tested</x:v>
      </x:c>
      <x:c r="J19" s="190" t="str"/>
      <x:c r="K19" s="190" t="str"/>
      <x:c r="L19" s="190" t="str">
        <x:v>Not Tested</x:v>
      </x:c>
      <x:c r="M19" s="190" t="str"/>
      <x:c r="N19" s="190" t="str"/>
      <x:c r="O19" s="190" t="str">
        <x:v>API-level only; not browser E2E. Some tests reuse existing workflow helpers; not independent feature-acceptance evidence.</x:v>
      </x:c>
      <x:c r="P19" s="194" t="str">
        <x:v>All assertions in the referenced API test completed successfully.</x:v>
      </x:c>
      <x:c r="Q19" s="194" t="str">
        <x:v>UC24, UC26</x:v>
      </x:c>
      <x:c r="R19" s="194" t="str">
        <x:v>evidence/planned-api/planned-api.trx :: SmartLibrary.IntegrationTests.Report5PlannedTests.ST_04_2_DuplicateReturn</x:v>
      </x:c>
      <x:c r="S19" s="194" t="str">
        <x:v>Synthetic records created per test; exact payloads and assertions in Report5PlannedTests.cs. No shared user data.</x:v>
      </x:c>
      <x:c r="T19" s="194" t="str">
        <x:v>API scenario execution (provider/auth doubles)</x:v>
      </x:c>
      <x:c r="U19" s="194" t="str">
        <x:v>Return and incidents</x:v>
      </x:c>
    </x:row>
    <x:row r="20" ht="60" customHeight="1">
      <x:c r="A20" s="194" t="str">
        <x:v>ST-04-3</x:v>
      </x:c>
      <x:c r="B20" s="194" t="str">
        <x:v>Return and incidents — Permission</x:v>
      </x:c>
      <x:c r="C20" s="194" t="str">
        <x:v>Reader calls staff return endpoint.</x:v>
      </x:c>
      <x:c r="D20" s="194" t="str">
        <x:v>Deny return processing by Reader.</x:v>
      </x:c>
      <x:c r="E20" s="194" t="str">
        <x:v>WorkflowFixture: disposable localhost PostgreSQL; real controllers/services/EF; synthetic identity headers and mocked external providers.</x:v>
      </x:c>
      <x:c r="F20" s="194" t="str">
        <x:v>Passed</x:v>
      </x:c>
      <x:c r="G20" s="194" t="str">
        <x:v>2026-10-27</x:v>
      </x:c>
      <x:c r="H20" s="194" t="str">
        <x:v>xUnit API automation</x:v>
      </x:c>
      <x:c r="I20" s="194" t="str">
        <x:v>Not Tested</x:v>
      </x:c>
      <x:c r="J20" s="194" t="str"/>
      <x:c r="K20" s="194" t="str"/>
      <x:c r="L20" s="194" t="str">
        <x:v>Not Tested</x:v>
      </x:c>
      <x:c r="M20" s="194" t="str"/>
      <x:c r="N20" s="194" t="str"/>
      <x:c r="O20" s="194" t="str">
        <x:v>API-level only; not browser E2E. Some tests reuse existing workflow helpers; not independent feature-acceptance evidence.</x:v>
      </x:c>
      <x:c r="P20" s="194" t="str">
        <x:v>All assertions in the referenced API test completed successfully.</x:v>
      </x:c>
      <x:c r="Q20" s="194" t="str">
        <x:v>UC24, UC26</x:v>
      </x:c>
      <x:c r="R20" s="194" t="str">
        <x:v>evidence/planned-api/planned-api.trx :: SmartLibrary.IntegrationTests.Report5PlannedTests.ST_04_3_ReaderCannotReturn</x:v>
      </x:c>
      <x:c r="S20" s="194" t="str">
        <x:v>Synthetic records created per test; exact payloads and assertions in Report5PlannedTests.cs. No shared user data.</x:v>
      </x:c>
      <x:c r="T20" s="194" t="str">
        <x:v>API scenario execution (provider/auth doubles)</x:v>
      </x:c>
      <x:c r="U20" s="194" t="str">
        <x:v>Return and incidents</x:v>
      </x:c>
    </x:row>
    <x:row r="21" ht="60" customHeight="1">
      <x:c r="A21" s="194" t="str">
        <x:v>ST-05-3</x:v>
      </x:c>
      <x:c r="B21" s="194" t="str">
        <x:v>Renewal — Permission</x:v>
      </x:c>
      <x:c r="C21" s="194" t="str">
        <x:v>Reader attempts renewal of another reader loan.</x:v>
      </x:c>
      <x:c r="D21" s="194" t="str">
        <x:v>Deny access to another reader loan.</x:v>
      </x:c>
      <x:c r="E21" s="194" t="str">
        <x:v>WorkflowFixture: disposable localhost PostgreSQL; real controllers/services/EF; synthetic identity headers and mocked external providers.</x:v>
      </x:c>
      <x:c r="F21" s="194" t="str">
        <x:v>Passed</x:v>
      </x:c>
      <x:c r="G21" s="194" t="str">
        <x:v>2026-10-27</x:v>
      </x:c>
      <x:c r="H21" s="194" t="str">
        <x:v>xUnit API automation</x:v>
      </x:c>
      <x:c r="I21" s="194" t="str">
        <x:v>Not Tested</x:v>
      </x:c>
      <x:c r="J21" s="194" t="str"/>
      <x:c r="K21" s="194" t="str"/>
      <x:c r="L21" s="194" t="str">
        <x:v>Not Tested</x:v>
      </x:c>
      <x:c r="M21" s="194" t="str"/>
      <x:c r="N21" s="194" t="str"/>
      <x:c r="O21" s="194" t="str">
        <x:v>API-level only; not browser E2E. Some tests reuse existing workflow helpers; not independent feature-acceptance evidence.</x:v>
      </x:c>
      <x:c r="P21" s="194" t="str">
        <x:v>All assertions in the referenced API test completed successfully.</x:v>
      </x:c>
      <x:c r="Q21" s="194" t="str">
        <x:v>UC09, UC24</x:v>
      </x:c>
      <x:c r="R21" s="194" t="str">
        <x:v>evidence/planned-api/planned-api.trx :: SmartLibrary.IntegrationTests.Report5PlannedTests.ST_05_3_CrossReaderRenewal</x:v>
      </x:c>
      <x:c r="S21" s="194" t="str">
        <x:v>Synthetic records created per test; exact payloads and assertions in Report5PlannedTests.cs. No shared user data.</x:v>
      </x:c>
      <x:c r="T21" s="194" t="str">
        <x:v>API scenario execution (provider/auth doubles)</x:v>
      </x:c>
      <x:c r="U21" s="194" t="str">
        <x:v>Renewal</x:v>
      </x:c>
    </x:row>
    <x:row r="22" ht="60" customHeight="1">
      <x:c r="A22" s="194" t="str">
        <x:v>ST-06-3</x:v>
      </x:c>
      <x:c r="B22" s="194" t="str">
        <x:v>Reservation — Permission</x:v>
      </x:c>
      <x:c r="C22" s="194" t="str">
        <x:v>Reader cancels another reader reservation.</x:v>
      </x:c>
      <x:c r="D22" s="194" t="str">
        <x:v>Deny cross-reader cancellation.</x:v>
      </x:c>
      <x:c r="E22" s="194" t="str">
        <x:v>WorkflowFixture: disposable localhost PostgreSQL; real controllers/services/EF; synthetic identity headers and mocked external providers.</x:v>
      </x:c>
      <x:c r="F22" s="194" t="str">
        <x:v>Passed</x:v>
      </x:c>
      <x:c r="G22" s="194" t="str">
        <x:v>2026-10-27</x:v>
      </x:c>
      <x:c r="H22" s="194" t="str">
        <x:v>xUnit API automation</x:v>
      </x:c>
      <x:c r="I22" s="194" t="str">
        <x:v>Not Tested</x:v>
      </x:c>
      <x:c r="J22" s="194" t="str"/>
      <x:c r="K22" s="194" t="str"/>
      <x:c r="L22" s="194" t="str">
        <x:v>Not Tested</x:v>
      </x:c>
      <x:c r="M22" s="194" t="str"/>
      <x:c r="N22" s="194" t="str"/>
      <x:c r="O22" s="194" t="str">
        <x:v>API-level only; not browser E2E. Some tests reuse existing workflow helpers; not independent feature-acceptance evidence.</x:v>
      </x:c>
      <x:c r="P22" s="194" t="str">
        <x:v>All assertions in the referenced API test completed successfully.</x:v>
      </x:c>
      <x:c r="Q22" s="194" t="str">
        <x:v>UC10, UC25</x:v>
      </x:c>
      <x:c r="R22" s="194" t="str">
        <x:v>evidence/planned-api/planned-api.trx :: SmartLibrary.IntegrationTests.Report5PlannedTests.ST_06_3_CrossReaderReservation</x:v>
      </x:c>
      <x:c r="S22" s="194" t="str">
        <x:v>Synthetic records created per test; exact payloads and assertions in Report5PlannedTests.cs. No shared user data.</x:v>
      </x:c>
      <x:c r="T22" s="194" t="str">
        <x:v>API scenario execution (provider/auth doubles)</x:v>
      </x:c>
      <x:c r="U22" s="194" t="str">
        <x:v>Reservation</x:v>
      </x:c>
    </x:row>
    <x:row r="23" ht="60" customHeight="1">
      <x:c r="A23" s="194" t="str">
        <x:v>ST-07-3</x:v>
      </x:c>
      <x:c r="B23" s="194" t="str">
        <x:v>Fine payment — Permission</x:v>
      </x:c>
      <x:c r="C23" s="194" t="str">
        <x:v>Reader attempts checkout for another reader fine.</x:v>
      </x:c>
      <x:c r="D23" s="194" t="str">
        <x:v>Deny access and create no checkout.</x:v>
      </x:c>
      <x:c r="E23" s="194" t="str">
        <x:v>WorkflowFixture: disposable localhost PostgreSQL; real controllers/services/EF; synthetic identity headers and mocked external providers.</x:v>
      </x:c>
      <x:c r="F23" s="194" t="str">
        <x:v>Passed</x:v>
      </x:c>
      <x:c r="G23" s="194" t="str">
        <x:v>2026-10-27</x:v>
      </x:c>
      <x:c r="H23" s="194" t="str">
        <x:v>xUnit API automation</x:v>
      </x:c>
      <x:c r="I23" s="194" t="str">
        <x:v>Not Tested</x:v>
      </x:c>
      <x:c r="J23" s="194" t="str"/>
      <x:c r="K23" s="194" t="str"/>
      <x:c r="L23" s="194" t="str">
        <x:v>Not Tested</x:v>
      </x:c>
      <x:c r="M23" s="194" t="str"/>
      <x:c r="N23" s="194" t="str"/>
      <x:c r="O23" s="194" t="str">
        <x:v>API-level only; not browser E2E. Some tests reuse existing workflow helpers; not independent feature-acceptance evidence.</x:v>
      </x:c>
      <x:c r="P23" s="194" t="str">
        <x:v>All assertions in the referenced API test completed successfully.</x:v>
      </x:c>
      <x:c r="Q23" s="194" t="str">
        <x:v>UC16, UC30</x:v>
      </x:c>
      <x:c r="R23" s="194" t="str">
        <x:v>evidence/planned-api/planned-api.trx :: SmartLibrary.IntegrationTests.Report5PlannedTests.ST_07_3_CrossReaderCheckout</x:v>
      </x:c>
      <x:c r="S23" s="194" t="str">
        <x:v>Synthetic records created per test; exact payloads and assertions in Report5PlannedTests.cs. No shared user data.</x:v>
      </x:c>
      <x:c r="T23" s="194" t="str">
        <x:v>API scenario execution (provider/auth doubles)</x:v>
      </x:c>
      <x:c r="U23" s="194" t="str">
        <x:v>Fine payment</x:v>
      </x:c>
    </x:row>
    <x:row r="24" ht="60" customHeight="1">
      <x:c r="A24" s="194" t="str">
        <x:v>ST-08-3</x:v>
      </x:c>
      <x:c r="B24" s="194" t="str">
        <x:v>Profiles and readers — Permission</x:v>
      </x:c>
      <x:c r="C24" s="194" t="str">
        <x:v>Reader attempts another reader private profile endpoint.</x:v>
      </x:c>
      <x:c r="D24" s="194" t="str">
        <x:v>Deny exposure or modification of private fields.</x:v>
      </x:c>
      <x:c r="E24" s="194" t="str">
        <x:v>WorkflowFixture: disposable localhost PostgreSQL; real controllers/services/EF; synthetic identity headers and mocked external providers.</x:v>
      </x:c>
      <x:c r="F24" s="194" t="str">
        <x:v>Passed</x:v>
      </x:c>
      <x:c r="G24" s="194" t="str">
        <x:v>2026-10-27</x:v>
      </x:c>
      <x:c r="H24" s="194" t="str">
        <x:v>xUnit API automation</x:v>
      </x:c>
      <x:c r="I24" s="194" t="str">
        <x:v>Not Tested</x:v>
      </x:c>
      <x:c r="J24" s="194" t="str"/>
      <x:c r="K24" s="194" t="str"/>
      <x:c r="L24" s="194" t="str">
        <x:v>Not Tested</x:v>
      </x:c>
      <x:c r="M24" s="194" t="str"/>
      <x:c r="N24" s="194" t="str"/>
      <x:c r="O24" s="194" t="str">
        <x:v>API-level only; not browser E2E. Some tests reuse existing workflow helpers; not independent feature-acceptance evidence.</x:v>
      </x:c>
      <x:c r="P24" s="194" t="str">
        <x:v>All assertions in the referenced API test completed successfully.</x:v>
      </x:c>
      <x:c r="Q24" s="194" t="str">
        <x:v>UC07, UC19, UC20</x:v>
      </x:c>
      <x:c r="R24" s="194" t="str">
        <x:v>evidence/planned-api/planned-api.trx :: SmartLibrary.IntegrationTests.Report5PlannedTests.ST_08_3_PrivateReaderDetails</x:v>
      </x:c>
      <x:c r="S24" s="194" t="str">
        <x:v>Synthetic records created per test; exact payloads and assertions in Report5PlannedTests.cs. No shared user data.</x:v>
      </x:c>
      <x:c r="T24" s="194" t="str">
        <x:v>API scenario execution (provider/auth doubles)</x:v>
      </x:c>
      <x:c r="U24" s="194" t="str">
        <x:v>Profiles and readers</x:v>
      </x:c>
    </x:row>
    <x:row r="25" ht="60" customHeight="1">
      <x:c r="A25" s="194" t="str">
        <x:v>ST-09-2</x:v>
      </x:c>
      <x:c r="B25" s="194" t="str">
        <x:v>Reviews — Validation / exception</x:v>
      </x:c>
      <x:c r="C25" s="194" t="str">
        <x:v>Submit rating 0 or 6 and duplicate active review.</x:v>
      </x:c>
      <x:c r="D25" s="194" t="str">
        <x:v>Reject out-of-range rating/duplicate; average rating remains consistent.</x:v>
      </x:c>
      <x:c r="E25" s="194" t="str">
        <x:v>WorkflowFixture: disposable localhost PostgreSQL; real controllers/services/EF; synthetic identity headers and mocked external providers.</x:v>
      </x:c>
      <x:c r="F25" s="194" t="str">
        <x:v>Passed</x:v>
      </x:c>
      <x:c r="G25" s="194" t="str">
        <x:v>2026-10-27</x:v>
      </x:c>
      <x:c r="H25" s="194" t="str">
        <x:v>xUnit API automation</x:v>
      </x:c>
      <x:c r="I25" s="194" t="str">
        <x:v>Not Tested</x:v>
      </x:c>
      <x:c r="J25" s="194" t="str"/>
      <x:c r="K25" s="194" t="str"/>
      <x:c r="L25" s="194" t="str">
        <x:v>Not Tested</x:v>
      </x:c>
      <x:c r="M25" s="194" t="str"/>
      <x:c r="N25" s="194" t="str"/>
      <x:c r="O25" s="194" t="str">
        <x:v>API-level only; not browser E2E. Some tests reuse existing workflow helpers; not independent feature-acceptance evidence.</x:v>
      </x:c>
      <x:c r="P25" s="194" t="str">
        <x:v>All assertions in the referenced API test completed successfully.</x:v>
      </x:c>
      <x:c r="Q25" s="194" t="str">
        <x:v>UC11, UC12</x:v>
      </x:c>
      <x:c r="R25" s="194" t="str">
        <x:v>evidence/planned-api/planned-api.trx :: SmartLibrary.IntegrationTests.Report5PlannedTests.ST_09_2_ReviewValidation</x:v>
      </x:c>
      <x:c r="S25" s="194" t="str">
        <x:v>Synthetic records created per test; exact payloads and assertions in Report5PlannedTests.cs. No shared user data.</x:v>
      </x:c>
      <x:c r="T25" s="194" t="str">
        <x:v>API scenario execution (provider/auth doubles)</x:v>
      </x:c>
      <x:c r="U25" s="194" t="str">
        <x:v>Reviews</x:v>
      </x:c>
    </x:row>
    <x:row r="26" ht="60" customHeight="1">
      <x:c r="A26" s="194" t="str">
        <x:v>ST-09-3</x:v>
      </x:c>
      <x:c r="B26" s="194" t="str">
        <x:v>Reviews — Permission</x:v>
      </x:c>
      <x:c r="C26" s="194" t="str">
        <x:v>Reader edits another reader review.</x:v>
      </x:c>
      <x:c r="D26" s="194" t="str">
        <x:v>Deny cross-reader modification.</x:v>
      </x:c>
      <x:c r="E26" s="194" t="str">
        <x:v>WorkflowFixture: disposable localhost PostgreSQL; real controllers/services/EF; synthetic identity headers and mocked external providers.</x:v>
      </x:c>
      <x:c r="F26" s="194" t="str">
        <x:v>Passed</x:v>
      </x:c>
      <x:c r="G26" s="194" t="str">
        <x:v>2026-10-27</x:v>
      </x:c>
      <x:c r="H26" s="194" t="str">
        <x:v>xUnit API automation</x:v>
      </x:c>
      <x:c r="I26" s="194" t="str">
        <x:v>Not Tested</x:v>
      </x:c>
      <x:c r="J26" s="194" t="str"/>
      <x:c r="K26" s="194" t="str"/>
      <x:c r="L26" s="194" t="str">
        <x:v>Not Tested</x:v>
      </x:c>
      <x:c r="M26" s="194" t="str"/>
      <x:c r="N26" s="194" t="str"/>
      <x:c r="O26" s="194" t="str">
        <x:v>API-level only; not browser E2E. Some tests reuse existing workflow helpers; not independent feature-acceptance evidence.</x:v>
      </x:c>
      <x:c r="P26" s="194" t="str">
        <x:v>All assertions in the referenced API test completed successfully.</x:v>
      </x:c>
      <x:c r="Q26" s="194" t="str">
        <x:v>UC11, UC12</x:v>
      </x:c>
      <x:c r="R26" s="194" t="str">
        <x:v>evidence/planned-api/planned-api.trx :: SmartLibrary.IntegrationTests.Report5PlannedTests.ST_09_3_ReviewOwnership</x:v>
      </x:c>
      <x:c r="S26" s="194" t="str">
        <x:v>Synthetic records created per test; exact payloads and assertions in Report5PlannedTests.cs. No shared user data.</x:v>
      </x:c>
      <x:c r="T26" s="194" t="str">
        <x:v>API scenario execution (provider/auth doubles)</x:v>
      </x:c>
      <x:c r="U26" s="194" t="str">
        <x:v>Reviews</x:v>
      </x:c>
    </x:row>
    <x:row r="27" ht="60" customHeight="1">
      <x:c r="A27" s="194" t="str">
        <x:v>ST-10-2</x:v>
      </x:c>
      <x:c r="B27" s="194" t="str">
        <x:v>Support — Validation / exception</x:v>
      </x:c>
      <x:c r="C27" s="194" t="str">
        <x:v>Submit empty content or invalid conversation ID.</x:v>
      </x:c>
      <x:c r="D27" s="194" t="str">
        <x:v>Reject invalid content/target without creating an orphan message.</x:v>
      </x:c>
      <x:c r="E27" s="194" t="str">
        <x:v>WorkflowFixture: disposable localhost PostgreSQL; real controllers/services/EF; synthetic identity headers and mocked external providers.</x:v>
      </x:c>
      <x:c r="F27" s="194" t="str">
        <x:v>Not Tested</x:v>
      </x:c>
      <x:c r="G27" s="194" t="str">
        <x:v>2026-10-27</x:v>
      </x:c>
      <x:c r="H27" s="194" t="str">
        <x:v>xUnit API automation</x:v>
      </x:c>
      <x:c r="I27" s="194" t="str">
        <x:v>Not Tested</x:v>
      </x:c>
      <x:c r="J27" s="194" t="str"/>
      <x:c r="K27" s="194" t="str"/>
      <x:c r="L27" s="194" t="str">
        <x:v>Not Tested</x:v>
      </x:c>
      <x:c r="M27" s="194" t="str"/>
      <x:c r="N27" s="194" t="str"/>
      <x:c r="O27" s="194" t="str">
        <x:v>Partial: invalid conversation branch not executed; retain Not Tested.</x:v>
      </x:c>
      <x:c r="P27" s="194" t="str">
        <x:v>Empty support content and nonexistent request type rejected; private/missing conversation branch remains untested.</x:v>
      </x:c>
      <x:c r="Q27" s="194" t="str">
        <x:v>UC13, UC14, UC15, UC27</x:v>
      </x:c>
      <x:c r="R27" s="194" t="str">
        <x:v>evidence/planned-api/planned-api.trx :: SmartLibrary.IntegrationTests.Report5PlannedTests.ST_10_2_InvalidSupportContent</x:v>
      </x:c>
      <x:c r="S27" s="194" t="str">
        <x:v>Synthetic records created per test; exact payloads and assertions in Report5PlannedTests.cs. No shared user data.</x:v>
      </x:c>
      <x:c r="T27" s="194" t="str">
        <x:v>Partial API execution</x:v>
      </x:c>
      <x:c r="U27" s="194" t="str">
        <x:v>Support</x:v>
      </x:c>
    </x:row>
    <x:row r="28" ht="60" customHeight="1">
      <x:c r="A28" s="194" t="str">
        <x:v>ST-10-3</x:v>
      </x:c>
      <x:c r="B28" s="194" t="str">
        <x:v>Support — Permission</x:v>
      </x:c>
      <x:c r="C28" s="194" t="str">
        <x:v>Another reader requests a private conversation.</x:v>
      </x:c>
      <x:c r="D28" s="194" t="str">
        <x:v>Deny access to conversation content.</x:v>
      </x:c>
      <x:c r="E28" s="194" t="str">
        <x:v>WorkflowFixture: disposable localhost PostgreSQL; real controllers/services/EF; synthetic identity headers and mocked external providers.</x:v>
      </x:c>
      <x:c r="F28" s="194" t="str">
        <x:v>Passed</x:v>
      </x:c>
      <x:c r="G28" s="194" t="str">
        <x:v>2026-10-27</x:v>
      </x:c>
      <x:c r="H28" s="194" t="str">
        <x:v>xUnit API automation</x:v>
      </x:c>
      <x:c r="I28" s="194" t="str">
        <x:v>Not Tested</x:v>
      </x:c>
      <x:c r="J28" s="194" t="str"/>
      <x:c r="K28" s="194" t="str"/>
      <x:c r="L28" s="194" t="str">
        <x:v>Not Tested</x:v>
      </x:c>
      <x:c r="M28" s="194" t="str"/>
      <x:c r="N28" s="194" t="str"/>
      <x:c r="O28" s="194" t="str">
        <x:v>API-level only; not browser E2E. Some tests reuse existing workflow helpers; not independent feature-acceptance evidence.</x:v>
      </x:c>
      <x:c r="P28" s="194" t="str">
        <x:v>All assertions in the referenced API test completed successfully.</x:v>
      </x:c>
      <x:c r="Q28" s="194" t="str">
        <x:v>UC13, UC14, UC15, UC27</x:v>
      </x:c>
      <x:c r="R28" s="194" t="str">
        <x:v>evidence/planned-api/planned-api.trx :: SmartLibrary.IntegrationTests.Report5PlannedTests.ST_10_3_PrivateConversation</x:v>
      </x:c>
      <x:c r="S28" s="194" t="str">
        <x:v>Synthetic records created per test; exact payloads and assertions in Report5PlannedTests.cs. No shared user data.</x:v>
      </x:c>
      <x:c r="T28" s="194" t="str">
        <x:v>API scenario execution (provider/auth doubles)</x:v>
      </x:c>
      <x:c r="U28" s="194" t="str">
        <x:v>Support</x:v>
      </x:c>
    </x:row>
    <x:row r="29" ht="60" customHeight="1">
      <x:c r="A29" s="194" t="str">
        <x:v>ST-11-3</x:v>
      </x:c>
      <x:c r="B29" s="194" t="str">
        <x:v>News and notifications — Permission</x:v>
      </x:c>
      <x:c r="C29" s="194" t="str">
        <x:v>Reader publishes news or reads another reader notification.</x:v>
      </x:c>
      <x:c r="D29" s="194" t="str">
        <x:v>Deny staff-only publication and cross-reader inbox access.</x:v>
      </x:c>
      <x:c r="E29" s="194" t="str">
        <x:v>WorkflowFixture: disposable localhost PostgreSQL; real controllers/services/EF; synthetic identity headers and mocked external providers.</x:v>
      </x:c>
      <x:c r="F29" s="194" t="str">
        <x:v>Passed</x:v>
      </x:c>
      <x:c r="G29" s="194" t="str">
        <x:v>2026-10-27</x:v>
      </x:c>
      <x:c r="H29" s="194" t="str">
        <x:v>xUnit API automation</x:v>
      </x:c>
      <x:c r="I29" s="194" t="str">
        <x:v>Not Tested</x:v>
      </x:c>
      <x:c r="J29" s="194" t="str"/>
      <x:c r="K29" s="194" t="str"/>
      <x:c r="L29" s="194" t="str">
        <x:v>Not Tested</x:v>
      </x:c>
      <x:c r="M29" s="194" t="str"/>
      <x:c r="N29" s="194" t="str"/>
      <x:c r="O29" s="194" t="str">
        <x:v>API-level only; not browser E2E. Some tests reuse existing workflow helpers; not independent feature-acceptance evidence.</x:v>
      </x:c>
      <x:c r="P29" s="194" t="str">
        <x:v>All assertions in the referenced API test completed successfully.</x:v>
      </x:c>
      <x:c r="Q29" s="194" t="str">
        <x:v>UC17, UC21, UC31</x:v>
      </x:c>
      <x:c r="R29" s="194" t="str">
        <x:v>evidence/planned-api/planned-api.trx :: SmartLibrary.IntegrationTests.Report5PlannedTests.ST_11_3_NewsAndNotificationOwnership</x:v>
      </x:c>
      <x:c r="S29" s="194" t="str">
        <x:v>Synthetic records created per test; exact payloads and assertions in Report5PlannedTests.cs. No shared user data.</x:v>
      </x:c>
      <x:c r="T29" s="194" t="str">
        <x:v>API scenario execution (provider/auth doubles)</x:v>
      </x:c>
      <x:c r="U29" s="194" t="str">
        <x:v>News and notifications</x:v>
      </x:c>
    </x:row>
    <x:row r="30" ht="60" customHeight="1">
      <x:c r="A30" s="194" t="str">
        <x:v>ST-12-3</x:v>
      </x:c>
      <x:c r="B30" s="194" t="str">
        <x:v>Users and permissions — Permission</x:v>
      </x:c>
      <x:c r="C30" s="194" t="str">
        <x:v>Librarian or Reader calls admin user management.</x:v>
      </x:c>
      <x:c r="D30" s="194" t="str">
        <x:v>Deny admin-only operation.</x:v>
      </x:c>
      <x:c r="E30" s="194" t="str">
        <x:v>WorkflowFixture: disposable localhost PostgreSQL; real controllers/services/EF; synthetic identity headers and mocked external providers.</x:v>
      </x:c>
      <x:c r="F30" s="194" t="str">
        <x:v>Passed</x:v>
      </x:c>
      <x:c r="G30" s="194" t="str">
        <x:v>2026-10-27</x:v>
      </x:c>
      <x:c r="H30" s="194" t="str">
        <x:v>xUnit API automation</x:v>
      </x:c>
      <x:c r="I30" s="194" t="str">
        <x:v>Not Tested</x:v>
      </x:c>
      <x:c r="J30" s="194" t="str"/>
      <x:c r="K30" s="194" t="str"/>
      <x:c r="L30" s="194" t="str">
        <x:v>Not Tested</x:v>
      </x:c>
      <x:c r="M30" s="194" t="str"/>
      <x:c r="N30" s="194" t="str"/>
      <x:c r="O30" s="194" t="str">
        <x:v>API-level only; not browser E2E. Some tests reuse existing workflow helpers; not independent feature-acceptance evidence.</x:v>
      </x:c>
      <x:c r="P30" s="194" t="str">
        <x:v>All assertions in the referenced API test completed successfully.</x:v>
      </x:c>
      <x:c r="Q30" s="194" t="str">
        <x:v>UC33, UC34</x:v>
      </x:c>
      <x:c r="R30" s="194" t="str">
        <x:v>evidence/planned-api/planned-api.trx :: SmartLibrary.IntegrationTests.Report5PlannedTests.ST_12_3_AdminUsersAuthorization</x:v>
      </x:c>
      <x:c r="S30" s="194" t="str">
        <x:v>Synthetic records created per test; exact payloads and assertions in Report5PlannedTests.cs. No shared user data.</x:v>
      </x:c>
      <x:c r="T30" s="194" t="str">
        <x:v>API scenario execution (provider/auth doubles)</x:v>
      </x:c>
      <x:c r="U30" s="194" t="str">
        <x:v>Users and permissions</x:v>
      </x:c>
    </x:row>
    <x:row r="31" ht="60" customHeight="1">
      <x:c r="A31" s="194" t="str">
        <x:v>ST-13-3</x:v>
      </x:c>
      <x:c r="B31" s="194" t="str">
        <x:v>Policies — Permission</x:v>
      </x:c>
      <x:c r="C31" s="194" t="str">
        <x:v>Reader or Librarian changes admin policy.</x:v>
      </x:c>
      <x:c r="D31" s="194" t="str">
        <x:v>Deny unauthorized policy mutation.</x:v>
      </x:c>
      <x:c r="E31" s="194" t="str">
        <x:v>WorkflowFixture: disposable localhost PostgreSQL; real controllers/services/EF; synthetic identity headers and mocked external providers.</x:v>
      </x:c>
      <x:c r="F31" s="194" t="str">
        <x:v>Passed</x:v>
      </x:c>
      <x:c r="G31" s="194" t="str">
        <x:v>2026-10-27</x:v>
      </x:c>
      <x:c r="H31" s="194" t="str">
        <x:v>xUnit API automation</x:v>
      </x:c>
      <x:c r="I31" s="194" t="str">
        <x:v>Not Tested</x:v>
      </x:c>
      <x:c r="J31" s="194" t="str"/>
      <x:c r="K31" s="194" t="str"/>
      <x:c r="L31" s="194" t="str">
        <x:v>Not Tested</x:v>
      </x:c>
      <x:c r="M31" s="194" t="str"/>
      <x:c r="N31" s="194" t="str"/>
      <x:c r="O31" s="194" t="str">
        <x:v>API-level only; not browser E2E. Some tests reuse existing workflow helpers; not independent feature-acceptance evidence.</x:v>
      </x:c>
      <x:c r="P31" s="194" t="str">
        <x:v>All assertions in the referenced API test completed successfully.</x:v>
      </x:c>
      <x:c r="Q31" s="194" t="str">
        <x:v>UC35</x:v>
      </x:c>
      <x:c r="R31" s="194" t="str">
        <x:v>evidence/planned-api/planned-api.trx :: SmartLibrary.IntegrationTests.Report5PlannedTests.ST_13_3_AdminPolicyAuthorization</x:v>
      </x:c>
      <x:c r="S31" s="194" t="str">
        <x:v>Synthetic records created per test; exact payloads and assertions in Report5PlannedTests.cs. No shared user data.</x:v>
      </x:c>
      <x:c r="T31" s="194" t="str">
        <x:v>API scenario execution (provider/auth doubles)</x:v>
      </x:c>
      <x:c r="U31" s="194" t="str">
        <x:v>Policies</x:v>
      </x:c>
    </x:row>
    <x:row r="32" ht="60" customHeight="1">
      <x:c r="A32" s="194" t="str">
        <x:v>ST-14-3</x:v>
      </x:c>
      <x:c r="B32" s="194" t="str">
        <x:v>AI configuration — Permission</x:v>
      </x:c>
      <x:c r="C32" s="194" t="str">
        <x:v>Reader requests provider credential/configuration endpoints.</x:v>
      </x:c>
      <x:c r="D32" s="194" t="str">
        <x:v>Deny access to administrative configuration.</x:v>
      </x:c>
      <x:c r="E32" s="194" t="str">
        <x:v>WorkflowFixture: disposable localhost PostgreSQL; real controllers/services/EF; synthetic identity headers and mocked external providers.</x:v>
      </x:c>
      <x:c r="F32" s="194" t="str">
        <x:v>Passed</x:v>
      </x:c>
      <x:c r="G32" s="194" t="str">
        <x:v>2026-10-27</x:v>
      </x:c>
      <x:c r="H32" s="194" t="str">
        <x:v>xUnit API automation</x:v>
      </x:c>
      <x:c r="I32" s="194" t="str">
        <x:v>Not Tested</x:v>
      </x:c>
      <x:c r="J32" s="194" t="str"/>
      <x:c r="K32" s="194" t="str"/>
      <x:c r="L32" s="194" t="str">
        <x:v>Not Tested</x:v>
      </x:c>
      <x:c r="M32" s="194" t="str"/>
      <x:c r="N32" s="194" t="str"/>
      <x:c r="O32" s="194" t="str">
        <x:v>API-level only; not browser E2E. Some tests reuse existing workflow helpers; not independent feature-acceptance evidence.</x:v>
      </x:c>
      <x:c r="P32" s="194" t="str">
        <x:v>All assertions in the referenced API test completed successfully.</x:v>
      </x:c>
      <x:c r="Q32" s="194" t="str">
        <x:v>UC36</x:v>
      </x:c>
      <x:c r="R32" s="194" t="str">
        <x:v>evidence/planned-api/planned-api.trx :: SmartLibrary.IntegrationTests.Report5PlannedTests.ST_14_3_AiSettingsAuthorization</x:v>
      </x:c>
      <x:c r="S32" s="194" t="str">
        <x:v>Synthetic records created per test; exact payloads and assertions in Report5PlannedTests.cs. No shared user data.</x:v>
      </x:c>
      <x:c r="T32" s="194" t="str">
        <x:v>API scenario execution (provider/auth doubles)</x:v>
      </x:c>
      <x:c r="U32" s="194" t="str">
        <x:v>AI configuration</x:v>
      </x:c>
    </x:row>
    <x:row r="33" ht="60" customHeight="1">
      <x:c r="A33" s="194" t="str">
        <x:v>ST-15-3</x:v>
      </x:c>
      <x:c r="B33" s="194" t="str">
        <x:v>AI search and recommendations — Permission</x:v>
      </x:c>
      <x:c r="C33" s="194" t="str">
        <x:v>Reader attempts staff-only AI demand report.</x:v>
      </x:c>
      <x:c r="D33" s="194" t="str">
        <x:v>Deny privileged analytics; public reader search remains available as designed.</x:v>
      </x:c>
      <x:c r="E33" s="194" t="str">
        <x:v>WorkflowFixture: disposable localhost PostgreSQL; real controllers/services/EF; synthetic identity headers and mocked external providers.</x:v>
      </x:c>
      <x:c r="F33" s="194" t="str">
        <x:v>Passed</x:v>
      </x:c>
      <x:c r="G33" s="194" t="str">
        <x:v>2026-10-27</x:v>
      </x:c>
      <x:c r="H33" s="194" t="str">
        <x:v>xUnit API automation</x:v>
      </x:c>
      <x:c r="I33" s="194" t="str">
        <x:v>Not Tested</x:v>
      </x:c>
      <x:c r="J33" s="194" t="str"/>
      <x:c r="K33" s="194" t="str"/>
      <x:c r="L33" s="194" t="str">
        <x:v>Not Tested</x:v>
      </x:c>
      <x:c r="M33" s="194" t="str"/>
      <x:c r="N33" s="194" t="str"/>
      <x:c r="O33" s="194" t="str">
        <x:v>API-level only; not browser E2E. Some tests reuse existing workflow helpers; not independent feature-acceptance evidence.</x:v>
      </x:c>
      <x:c r="P33" s="194" t="str">
        <x:v>All assertions in the referenced API test completed successfully.</x:v>
      </x:c>
      <x:c r="Q33" s="194" t="str">
        <x:v>UC06, UC32, UC38, UC39, UC40</x:v>
      </x:c>
      <x:c r="R33" s="194" t="str">
        <x:v>evidence/planned-api/planned-api.trx :: SmartLibrary.IntegrationTests.Report5PlannedTests.ST_15_3_AiAnalyticsAuthorization</x:v>
      </x:c>
      <x:c r="S33" s="194" t="str">
        <x:v>Synthetic records created per test; exact payloads and assertions in Report5PlannedTests.cs. No shared user data.</x:v>
      </x:c>
      <x:c r="T33" s="194" t="str">
        <x:v>API scenario execution (provider/auth doubles)</x:v>
      </x:c>
      <x:c r="U33" s="194" t="str">
        <x:v>AI search and recommendations</x:v>
      </x:c>
    </x:row>
    <x:row r="34" ht="60" customHeight="1">
      <x:c r="A34" s="194" t="str">
        <x:v>ST-16-3</x:v>
      </x:c>
      <x:c r="B34" s="194" t="str">
        <x:v>Reports and statistics — Permission</x:v>
      </x:c>
      <x:c r="C34" s="194" t="str">
        <x:v>Reader accesses staff report/export.</x:v>
      </x:c>
      <x:c r="D34" s="194" t="str">
        <x:v>Deny unauthorized report data access.</x:v>
      </x:c>
      <x:c r="E34" s="194" t="str">
        <x:v>WorkflowFixture: disposable localhost PostgreSQL; real controllers/services/EF; synthetic identity headers and mocked external providers.</x:v>
      </x:c>
      <x:c r="F34" s="194" t="str">
        <x:v>Passed</x:v>
      </x:c>
      <x:c r="G34" s="194" t="str">
        <x:v>2026-10-27</x:v>
      </x:c>
      <x:c r="H34" s="194" t="str">
        <x:v>xUnit API automation</x:v>
      </x:c>
      <x:c r="I34" s="194" t="str">
        <x:v>Not Tested</x:v>
      </x:c>
      <x:c r="J34" s="194" t="str"/>
      <x:c r="K34" s="194" t="str"/>
      <x:c r="L34" s="194" t="str">
        <x:v>Not Tested</x:v>
      </x:c>
      <x:c r="M34" s="194" t="str"/>
      <x:c r="N34" s="194" t="str"/>
      <x:c r="O34" s="194" t="str">
        <x:v>API-level only; not browser E2E. Some tests reuse existing workflow helpers; not independent feature-acceptance evidence.</x:v>
      </x:c>
      <x:c r="P34" s="194" t="str">
        <x:v>All assertions in the referenced API test completed successfully.</x:v>
      </x:c>
      <x:c r="Q34" s="194" t="str">
        <x:v>UC37</x:v>
      </x:c>
      <x:c r="R34" s="194" t="str">
        <x:v>evidence/planned-api/planned-api.trx :: SmartLibrary.IntegrationTests.Report5PlannedTests.ST_16_3_ReportAuthorization</x:v>
      </x:c>
      <x:c r="S34" s="194" t="str">
        <x:v>Synthetic records created per test; exact payloads and assertions in Report5PlannedTests.cs. No shared user data.</x:v>
      </x:c>
      <x:c r="T34" s="194" t="str">
        <x:v>API scenario execution (provider/auth doubles)</x:v>
      </x:c>
      <x:c r="U34" s="194" t="str">
        <x:v>Reports and statistics</x:v>
      </x:c>
    </x:row>
    <x:row r="35" ht="60" customHeight="1">
      <x:c r="A35" s="194" t="str">
        <x:v>IT-001</x:v>
      </x:c>
      <x:c r="B35" s="194" t="str">
        <x:v>Borrow — ConcurrentApprove_SameCopy_AtMostOneSuccess</x:v>
      </x:c>
      <x:c r="C35" s="194" t="str">
        <x:v>Implement skipped concurrency placeholder before execution.</x:v>
      </x:c>
      <x:c r="D35" s="194" t="str">
        <x:v>Concurrency invariant holds without duplicate allocation/fine.</x:v>
      </x:c>
      <x:c r="E35" s="194" t="str">
        <x:v>WorkflowFixture: localhost PostgreSQL; actual services/EF; synthetic roles; mocked providers.</x:v>
      </x:c>
      <x:c r="F35" s="194" t="str">
        <x:v>Not Tested</x:v>
      </x:c>
      <x:c r="G35" s="194" t="str"/>
      <x:c r="H35" s="194" t="str"/>
      <x:c r="I35" s="194" t="str">
        <x:v>Not Tested</x:v>
      </x:c>
      <x:c r="J35" s="194" t="str"/>
      <x:c r="K35" s="194" t="str"/>
      <x:c r="L35" s="194" t="str">
        <x:v>Not Tested</x:v>
      </x:c>
      <x:c r="M35" s="194" t="str"/>
      <x:c r="N35" s="194" t="str"/>
      <x:c r="O35" s="194" t="str">
        <x:v>Skipped placeholder; not counted as executed.</x:v>
      </x:c>
      <x:c r="P35" s="194" t="str">
        <x:v>Chưa có PostgreSQL kiểm thử riêng. Bật sau khi có database non-production; không chạy trên production.</x:v>
      </x:c>
      <x:c r="Q35" s="194" t="str">
        <x:v>UC08, UC25, UC26</x:v>
      </x:c>
      <x:c r="R35" s="194" t="str">
        <x:v>evidence/integration.trx :: SmartLibrary.IntegrationTests.CirculationConcurrencyTests.ConcurrentApprove_SameCopy_AtMostOneSuccess</x:v>
      </x:c>
      <x:c r="S35" s="194" t="str">
        <x:v>Seed isolated records in WorkflowTests; see source method.</x:v>
      </x:c>
      <x:c r="T35" s="194" t="str">
        <x:v>API integration (provider/auth doubles)</x:v>
      </x:c>
      <x:c r="U35" s="194" t="str">
        <x:v>Borrow</x:v>
      </x:c>
    </x:row>
    <x:row r="36" ht="60" customHeight="1">
      <x:c r="A36" s="194" t="str">
        <x:v>IT-002</x:v>
      </x:c>
      <x:c r="B36" s="194" t="str">
        <x:v>Return and incidents — ConcurrentConfirmIncident_AtMostOneCompensationFine</x:v>
      </x:c>
      <x:c r="C36" s="194" t="str">
        <x:v>Implement skipped concurrency placeholder before execution.</x:v>
      </x:c>
      <x:c r="D36" s="194" t="str">
        <x:v>Concurrency invariant holds without duplicate allocation/fine.</x:v>
      </x:c>
      <x:c r="E36" s="194" t="str">
        <x:v>WorkflowFixture: localhost PostgreSQL; actual services/EF; synthetic roles; mocked providers.</x:v>
      </x:c>
      <x:c r="F36" s="194" t="str">
        <x:v>Not Tested</x:v>
      </x:c>
      <x:c r="G36" s="194" t="str"/>
      <x:c r="H36" s="194" t="str"/>
      <x:c r="I36" s="194" t="str">
        <x:v>Not Tested</x:v>
      </x:c>
      <x:c r="J36" s="194" t="str"/>
      <x:c r="K36" s="194" t="str"/>
      <x:c r="L36" s="194" t="str">
        <x:v>Not Tested</x:v>
      </x:c>
      <x:c r="M36" s="194" t="str"/>
      <x:c r="N36" s="194" t="str"/>
      <x:c r="O36" s="194" t="str">
        <x:v>Skipped placeholder; not counted as executed.</x:v>
      </x:c>
      <x:c r="P36" s="194" t="str">
        <x:v>Chưa có PostgreSQL kiểm thử riêng. Bật sau khi có database non-production; không chạy trên production.</x:v>
      </x:c>
      <x:c r="Q36" s="194" t="str">
        <x:v>UC08, UC25, UC26</x:v>
      </x:c>
      <x:c r="R36" s="194" t="str">
        <x:v>evidence/integration.trx :: SmartLibrary.IntegrationTests.CirculationConcurrencyTests.ConcurrentConfirmIncident_AtMostOneCompensationFine</x:v>
      </x:c>
      <x:c r="S36" s="194" t="str">
        <x:v>Seed isolated records in WorkflowTests; see source method.</x:v>
      </x:c>
      <x:c r="T36" s="194" t="str">
        <x:v>API integration (provider/auth doubles)</x:v>
      </x:c>
      <x:c r="U36" s="194" t="str">
        <x:v>Return and incidents</x:v>
      </x:c>
    </x:row>
    <x:row r="37" ht="60" customHeight="1">
      <x:c r="A37" s="194" t="str">
        <x:v>IT-003</x:v>
      </x:c>
      <x:c r="B37" s="194" t="str">
        <x:v>Reservation — ConcurrentExpireAndReady_SameQueue_AtMostOneReaderReady</x:v>
      </x:c>
      <x:c r="C37" s="194" t="str">
        <x:v>Implement skipped concurrency placeholder before execution.</x:v>
      </x:c>
      <x:c r="D37" s="194" t="str">
        <x:v>Concurrency invariant holds without duplicate allocation/fine.</x:v>
      </x:c>
      <x:c r="E37" s="194" t="str">
        <x:v>WorkflowFixture: localhost PostgreSQL; actual services/EF; synthetic roles; mocked providers.</x:v>
      </x:c>
      <x:c r="F37" s="194" t="str">
        <x:v>Not Tested</x:v>
      </x:c>
      <x:c r="G37" s="194" t="str"/>
      <x:c r="H37" s="194" t="str"/>
      <x:c r="I37" s="194" t="str">
        <x:v>Not Tested</x:v>
      </x:c>
      <x:c r="J37" s="194" t="str"/>
      <x:c r="K37" s="194" t="str"/>
      <x:c r="L37" s="194" t="str">
        <x:v>Not Tested</x:v>
      </x:c>
      <x:c r="M37" s="194" t="str"/>
      <x:c r="N37" s="194" t="str"/>
      <x:c r="O37" s="194" t="str">
        <x:v>Skipped placeholder; not counted as executed.</x:v>
      </x:c>
      <x:c r="P37" s="194" t="str">
        <x:v>Chưa có PostgreSQL kiểm thử riêng. Bật sau khi có database non-production; không chạy trên production.</x:v>
      </x:c>
      <x:c r="Q37" s="194" t="str">
        <x:v>UC08, UC25, UC26</x:v>
      </x:c>
      <x:c r="R37" s="194" t="str">
        <x:v>evidence/integration.trx :: SmartLibrary.IntegrationTests.CirculationConcurrencyTests.ConcurrentExpireAndReady_SameQueue_AtMostOneReaderReady</x:v>
      </x:c>
      <x:c r="S37" s="194" t="str">
        <x:v>Seed isolated records in WorkflowTests; see source method.</x:v>
      </x:c>
      <x:c r="T37" s="194" t="str">
        <x:v>API integration (provider/auth doubles)</x:v>
      </x:c>
      <x:c r="U37" s="194" t="str">
        <x:v>Reservation</x:v>
      </x:c>
    </x:row>
    <x:row r="38" ht="60" customHeight="1">
      <x:c r="A38" s="194" t="str">
        <x:v>IT-004</x:v>
      </x:c>
      <x:c r="B38" s="194" t="str">
        <x:v>Borrow — Borrow_Approve_Handover_Return_PersistsLifecycle</x:v>
      </x:c>
      <x:c r="C38" s="194" t="str">
        <x:v>Create book/slot; request → approve → checkout → return → duplicate return.</x:v>
      </x:c>
      <x:c r="D38" s="194" t="str">
        <x:v>Pending holds copy; Approved has no BorrowDate; checkout sets dates; return frees copy; duplicate returns 400.</x:v>
      </x:c>
      <x:c r="E38" s="194" t="str">
        <x:v>WorkflowFixture: localhost PostgreSQL; actual services/EF; synthetic roles; mocked providers.</x:v>
      </x:c>
      <x:c r="F38" s="194" t="str">
        <x:v>Passed</x:v>
      </x:c>
      <x:c r="G38" s="194" t="str">
        <x:v>2026-10-27</x:v>
      </x:c>
      <x:c r="H38" s="194" t="str">
        <x:v>xUnit automation</x:v>
      </x:c>
      <x:c r="I38" s="194" t="str">
        <x:v>Not Tested</x:v>
      </x:c>
      <x:c r="J38" s="194" t="str"/>
      <x:c r="K38" s="194" t="str"/>
      <x:c r="L38" s="194" t="str">
        <x:v>Not Tested</x:v>
      </x:c>
      <x:c r="M38" s="194" t="str"/>
      <x:c r="N38" s="194" t="str"/>
      <x:c r="O38" s="194" t="str">
        <x:v>No live-provider or browser claim.</x:v>
      </x:c>
      <x:c r="P38" s="194" t="str">
        <x:v>All assertions completed successfully.</x:v>
      </x:c>
      <x:c r="Q38" s="194" t="str">
        <x:v>UC08, UC22, UC23, UC24</x:v>
      </x:c>
      <x:c r="R38" s="194" t="str">
        <x:v>evidence/integration.trx :: SmartLibrary.IntegrationTests.WorkflowTests.Borrow_Approve_Handover_Return_PersistsLifecycle</x:v>
      </x:c>
      <x:c r="S38" s="194" t="str">
        <x:v>Seed isolated records in WorkflowTests; see source method.</x:v>
      </x:c>
      <x:c r="T38" s="194" t="str">
        <x:v>API integration (provider/auth doubles)</x:v>
      </x:c>
      <x:c r="U38" s="194" t="str">
        <x:v>Borrow</x:v>
      </x:c>
    </x:row>
    <x:row r="39" ht="60" customHeight="1">
      <x:c r="A39" s="194" t="str">
        <x:v>IT-005</x:v>
      </x:c>
      <x:c r="B39" s="194" t="str">
        <x:v>Borrow — Borrow_PastPickupSlot_IsRejectedWithoutHoldingCopy</x:v>
      </x:c>
      <x:c r="C39" s="194" t="str">
        <x:v>POST borrow request with yesterday pickup.</x:v>
      </x:c>
      <x:c r="D39" s="194" t="str">
        <x:v>400; copy remains available; no loan created.</x:v>
      </x:c>
      <x:c r="E39" s="194" t="str">
        <x:v>WorkflowFixture: localhost PostgreSQL; actual services/EF; synthetic roles; mocked providers.</x:v>
      </x:c>
      <x:c r="F39" s="194" t="str">
        <x:v>Passed</x:v>
      </x:c>
      <x:c r="G39" s="194" t="str">
        <x:v>2026-10-27</x:v>
      </x:c>
      <x:c r="H39" s="194" t="str">
        <x:v>xUnit automation</x:v>
      </x:c>
      <x:c r="I39" s="194" t="str">
        <x:v>Not Tested</x:v>
      </x:c>
      <x:c r="J39" s="194" t="str"/>
      <x:c r="K39" s="194" t="str"/>
      <x:c r="L39" s="194" t="str">
        <x:v>Not Tested</x:v>
      </x:c>
      <x:c r="M39" s="194" t="str"/>
      <x:c r="N39" s="194" t="str"/>
      <x:c r="O39" s="194" t="str">
        <x:v>No live-provider or browser claim.</x:v>
      </x:c>
      <x:c r="P39" s="194" t="str">
        <x:v>All assertions completed successfully.</x:v>
      </x:c>
      <x:c r="Q39" s="194" t="str">
        <x:v>UC08</x:v>
      </x:c>
      <x:c r="R39" s="194" t="str">
        <x:v>evidence/integration.trx :: SmartLibrary.IntegrationTests.WorkflowTests.Borrow_PastPickupSlot_IsRejectedWithoutHoldingCopy</x:v>
      </x:c>
      <x:c r="S39" s="194" t="str">
        <x:v>Seed isolated records in WorkflowTests; see source method.</x:v>
      </x:c>
      <x:c r="T39" s="194" t="str">
        <x:v>API integration (provider/auth doubles)</x:v>
      </x:c>
      <x:c r="U39" s="194" t="str">
        <x:v>Borrow</x:v>
      </x:c>
    </x:row>
    <x:row r="40" ht="60" customHeight="1">
      <x:c r="A40" s="194" t="str">
        <x:v>IT-006</x:v>
      </x:c>
      <x:c r="B40" s="194" t="str">
        <x:v>Borrow — ConcurrentBorrow_LastCopy_OnlyOneRequestSucceeds</x:v>
      </x:c>
      <x:c r="C40" s="194" t="str">
        <x:v>Two distinct synthetic readers submit simultaneously for one copy.</x:v>
      </x:c>
      <x:c r="D40" s="194" t="str">
        <x:v>Exactly one success and one 400; one loan; available copies = 0.</x:v>
      </x:c>
      <x:c r="E40" s="194" t="str">
        <x:v>WorkflowFixture: localhost PostgreSQL; actual services/EF; synthetic roles; mocked providers.</x:v>
      </x:c>
      <x:c r="F40" s="194" t="str">
        <x:v>Passed</x:v>
      </x:c>
      <x:c r="G40" s="194" t="str">
        <x:v>2026-10-27</x:v>
      </x:c>
      <x:c r="H40" s="194" t="str">
        <x:v>xUnit automation</x:v>
      </x:c>
      <x:c r="I40" s="194" t="str">
        <x:v>Not Tested</x:v>
      </x:c>
      <x:c r="J40" s="194" t="str"/>
      <x:c r="K40" s="194" t="str"/>
      <x:c r="L40" s="194" t="str">
        <x:v>Not Tested</x:v>
      </x:c>
      <x:c r="M40" s="194" t="str"/>
      <x:c r="N40" s="194" t="str"/>
      <x:c r="O40" s="194" t="str">
        <x:v>No live-provider or browser claim.</x:v>
      </x:c>
      <x:c r="P40" s="194" t="str">
        <x:v>All assertions completed successfully.</x:v>
      </x:c>
      <x:c r="Q40" s="194" t="str">
        <x:v>UC08</x:v>
      </x:c>
      <x:c r="R40" s="194" t="str">
        <x:v>evidence/integration.trx :: SmartLibrary.IntegrationTests.WorkflowTests.ConcurrentBorrow_LastCopy_OnlyOneRequestSucceeds</x:v>
      </x:c>
      <x:c r="S40" s="194" t="str">
        <x:v>Seed isolated records in WorkflowTests; see source method.</x:v>
      </x:c>
      <x:c r="T40" s="194" t="str">
        <x:v>API integration (provider/auth doubles)</x:v>
      </x:c>
      <x:c r="U40" s="194" t="str">
        <x:v>Borrow</x:v>
      </x:c>
    </x:row>
    <x:row r="41" ht="60" customHeight="1">
      <x:c r="A41" s="194" t="str">
        <x:v>IT-007</x:v>
      </x:c>
      <x:c r="B41" s="194" t="str">
        <x:v>Catalog — CopyIntake_InvalidQuantity_IsRejected(quantity: 0)</x:v>
      </x:c>
      <x:c r="C41" s="194" t="str">
        <x:v>POST copies/intake with quantity shown in parameters.</x:v>
      </x:c>
      <x:c r="D41" s="194" t="str">
        <x:v>400 for 0 and 501.</x:v>
      </x:c>
      <x:c r="E41" s="194" t="str">
        <x:v>WorkflowFixture: localhost PostgreSQL; actual services/EF; synthetic roles; mocked providers.</x:v>
      </x:c>
      <x:c r="F41" s="194" t="str">
        <x:v>Passed</x:v>
      </x:c>
      <x:c r="G41" s="194" t="str">
        <x:v>2026-10-27</x:v>
      </x:c>
      <x:c r="H41" s="194" t="str">
        <x:v>xUnit automation</x:v>
      </x:c>
      <x:c r="I41" s="194" t="str">
        <x:v>Not Tested</x:v>
      </x:c>
      <x:c r="J41" s="194" t="str"/>
      <x:c r="K41" s="194" t="str"/>
      <x:c r="L41" s="194" t="str">
        <x:v>Not Tested</x:v>
      </x:c>
      <x:c r="M41" s="194" t="str"/>
      <x:c r="N41" s="194" t="str"/>
      <x:c r="O41" s="194" t="str">
        <x:v>No live-provider or browser claim.</x:v>
      </x:c>
      <x:c r="P41" s="194" t="str">
        <x:v>All assertions completed successfully.</x:v>
      </x:c>
      <x:c r="Q41" s="194" t="str">
        <x:v>UC28</x:v>
      </x:c>
      <x:c r="R41" s="194" t="str">
        <x:v>evidence/integration.trx :: SmartLibrary.IntegrationTests.WorkflowTests.CopyIntake_InvalidQuantity_IsRejected(quantity: 0)</x:v>
      </x:c>
      <x:c r="S41" s="194" t="str">
        <x:v>quantity: 0</x:v>
      </x:c>
      <x:c r="T41" s="194" t="str">
        <x:v>API integration (provider/auth doubles)</x:v>
      </x:c>
      <x:c r="U41" s="194" t="str">
        <x:v>Catalog</x:v>
      </x:c>
    </x:row>
    <x:row r="42" ht="60" customHeight="1">
      <x:c r="A42" s="194" t="str">
        <x:v>IT-008</x:v>
      </x:c>
      <x:c r="B42" s="194" t="str">
        <x:v>Catalog — CopyIntake_InvalidQuantity_IsRejected(quantity: 501)</x:v>
      </x:c>
      <x:c r="C42" s="194" t="str">
        <x:v>POST copies/intake with quantity shown in parameters.</x:v>
      </x:c>
      <x:c r="D42" s="194" t="str">
        <x:v>400 for 0 and 501.</x:v>
      </x:c>
      <x:c r="E42" s="194" t="str">
        <x:v>WorkflowFixture: localhost PostgreSQL; actual services/EF; synthetic roles; mocked providers.</x:v>
      </x:c>
      <x:c r="F42" s="194" t="str">
        <x:v>Passed</x:v>
      </x:c>
      <x:c r="G42" s="194" t="str">
        <x:v>2026-10-27</x:v>
      </x:c>
      <x:c r="H42" s="194" t="str">
        <x:v>xUnit automation</x:v>
      </x:c>
      <x:c r="I42" s="194" t="str">
        <x:v>Not Tested</x:v>
      </x:c>
      <x:c r="J42" s="194" t="str"/>
      <x:c r="K42" s="194" t="str"/>
      <x:c r="L42" s="194" t="str">
        <x:v>Not Tested</x:v>
      </x:c>
      <x:c r="M42" s="194" t="str"/>
      <x:c r="N42" s="194" t="str"/>
      <x:c r="O42" s="194" t="str">
        <x:v>No live-provider or browser claim.</x:v>
      </x:c>
      <x:c r="P42" s="194" t="str">
        <x:v>All assertions completed successfully.</x:v>
      </x:c>
      <x:c r="Q42" s="194" t="str">
        <x:v>UC28</x:v>
      </x:c>
      <x:c r="R42" s="194" t="str">
        <x:v>evidence/integration.trx :: SmartLibrary.IntegrationTests.WorkflowTests.CopyIntake_InvalidQuantity_IsRejected(quantity: 501)</x:v>
      </x:c>
      <x:c r="S42" s="194" t="str">
        <x:v>quantity: 501</x:v>
      </x:c>
      <x:c r="T42" s="194" t="str">
        <x:v>API integration (provider/auth doubles)</x:v>
      </x:c>
      <x:c r="U42" s="194" t="str">
        <x:v>Catalog</x:v>
      </x:c>
    </x:row>
    <x:row r="43" ht="60" customHeight="1">
      <x:c r="A43" s="194" t="str">
        <x:v>IT-009</x:v>
      </x:c>
      <x:c r="B43" s="194" t="str">
        <x:v>Catalog — CopyIntake_UpdatesCountAndDistinctBarcodes</x:v>
      </x:c>
      <x:c r="C43" s="194" t="str">
        <x:v>Seed one copy; intake 2 Good copies at TEST-A1.</x:v>
      </x:c>
      <x:c r="D43" s="194" t="str">
        <x:v>3 total/available copies; 3 distinct barcodes; two at TEST-A1.</x:v>
      </x:c>
      <x:c r="E43" s="194" t="str">
        <x:v>WorkflowFixture: localhost PostgreSQL; actual services/EF; synthetic roles; mocked providers.</x:v>
      </x:c>
      <x:c r="F43" s="194" t="str">
        <x:v>Passed</x:v>
      </x:c>
      <x:c r="G43" s="194" t="str">
        <x:v>2026-10-27</x:v>
      </x:c>
      <x:c r="H43" s="194" t="str">
        <x:v>xUnit automation</x:v>
      </x:c>
      <x:c r="I43" s="194" t="str">
        <x:v>Not Tested</x:v>
      </x:c>
      <x:c r="J43" s="194" t="str"/>
      <x:c r="K43" s="194" t="str"/>
      <x:c r="L43" s="194" t="str">
        <x:v>Not Tested</x:v>
      </x:c>
      <x:c r="M43" s="194" t="str"/>
      <x:c r="N43" s="194" t="str"/>
      <x:c r="O43" s="194" t="str">
        <x:v>No live-provider or browser claim.</x:v>
      </x:c>
      <x:c r="P43" s="194" t="str">
        <x:v>All assertions completed successfully.</x:v>
      </x:c>
      <x:c r="Q43" s="194" t="str">
        <x:v>UC28</x:v>
      </x:c>
      <x:c r="R43" s="194" t="str">
        <x:v>evidence/integration.trx :: SmartLibrary.IntegrationTests.WorkflowTests.CopyIntake_UpdatesCountAndDistinctBarcodes</x:v>
      </x:c>
      <x:c r="S43" s="194" t="str">
        <x:v>Seed isolated records in WorkflowTests; see source method.</x:v>
      </x:c>
      <x:c r="T43" s="194" t="str">
        <x:v>API integration (provider/auth doubles)</x:v>
      </x:c>
      <x:c r="U43" s="194" t="str">
        <x:v>Catalog</x:v>
      </x:c>
    </x:row>
    <x:row r="44" ht="60" customHeight="1">
      <x:c r="A44" s="194" t="str">
        <x:v>IT-010</x:v>
      </x:c>
      <x:c r="B44" s="194" t="str">
        <x:v>Fine payment — Fine_CashSettlement_CancelsPendingCheckout</x:v>
      </x:c>
      <x:c r="C44" s="194" t="str">
        <x:v>Create mocked online checkout then staff cash settlement.</x:v>
      </x:c>
      <x:c r="D44" s="194" t="str">
        <x:v>Fine Paid; PayOS attempt Cancelled; cash payment Paid.</x:v>
      </x:c>
      <x:c r="E44" s="194" t="str">
        <x:v>WorkflowFixture: localhost PostgreSQL; actual services/EF; synthetic roles; mocked providers.</x:v>
      </x:c>
      <x:c r="F44" s="194" t="str">
        <x:v>Passed</x:v>
      </x:c>
      <x:c r="G44" s="194" t="str">
        <x:v>2026-10-27</x:v>
      </x:c>
      <x:c r="H44" s="194" t="str">
        <x:v>xUnit automation</x:v>
      </x:c>
      <x:c r="I44" s="194" t="str">
        <x:v>Not Tested</x:v>
      </x:c>
      <x:c r="J44" s="194" t="str"/>
      <x:c r="K44" s="194" t="str"/>
      <x:c r="L44" s="194" t="str">
        <x:v>Not Tested</x:v>
      </x:c>
      <x:c r="M44" s="194" t="str"/>
      <x:c r="N44" s="194" t="str"/>
      <x:c r="O44" s="194" t="str">
        <x:v>No live-provider or browser claim.</x:v>
      </x:c>
      <x:c r="P44" s="194" t="str">
        <x:v>All assertions completed successfully.</x:v>
      </x:c>
      <x:c r="Q44" s="194" t="str">
        <x:v>UC16, UC30</x:v>
      </x:c>
      <x:c r="R44" s="194" t="str">
        <x:v>evidence/integration.trx :: SmartLibrary.IntegrationTests.WorkflowTests.Fine_CashSettlement_CancelsPendingCheckout</x:v>
      </x:c>
      <x:c r="S44" s="194" t="str">
        <x:v>Seed isolated records in WorkflowTests; see source method.</x:v>
      </x:c>
      <x:c r="T44" s="194" t="str">
        <x:v>API integration (provider/auth doubles)</x:v>
      </x:c>
      <x:c r="U44" s="194" t="str">
        <x:v>Fine payment</x:v>
      </x:c>
    </x:row>
    <x:row r="45" ht="60" customHeight="1">
      <x:c r="A45" s="194" t="str">
        <x:v>IT-011</x:v>
      </x:c>
      <x:c r="B45" s="194" t="str">
        <x:v>Fine payment — Fine_Checkout_DifferentReader_IsDenied</x:v>
      </x:c>
      <x:c r="C45" s="194" t="str">
        <x:v>Other reader requests fine checkout.</x:v>
      </x:c>
      <x:c r="D45" s="194" t="str">
        <x:v>400; no payment created.</x:v>
      </x:c>
      <x:c r="E45" s="194" t="str">
        <x:v>WorkflowFixture: localhost PostgreSQL; actual services/EF; synthetic roles; mocked providers.</x:v>
      </x:c>
      <x:c r="F45" s="194" t="str">
        <x:v>Passed</x:v>
      </x:c>
      <x:c r="G45" s="194" t="str">
        <x:v>2026-10-27</x:v>
      </x:c>
      <x:c r="H45" s="194" t="str">
        <x:v>xUnit automation</x:v>
      </x:c>
      <x:c r="I45" s="194" t="str">
        <x:v>Not Tested</x:v>
      </x:c>
      <x:c r="J45" s="194" t="str"/>
      <x:c r="K45" s="194" t="str"/>
      <x:c r="L45" s="194" t="str">
        <x:v>Not Tested</x:v>
      </x:c>
      <x:c r="M45" s="194" t="str"/>
      <x:c r="N45" s="194" t="str"/>
      <x:c r="O45" s="194" t="str">
        <x:v>No live-provider or browser claim.</x:v>
      </x:c>
      <x:c r="P45" s="194" t="str">
        <x:v>All assertions completed successfully.</x:v>
      </x:c>
      <x:c r="Q45" s="194" t="str">
        <x:v>UC16</x:v>
      </x:c>
      <x:c r="R45" s="194" t="str">
        <x:v>evidence/integration.trx :: SmartLibrary.IntegrationTests.WorkflowTests.Fine_Checkout_DifferentReader_IsDenied</x:v>
      </x:c>
      <x:c r="S45" s="194" t="str">
        <x:v>Seed isolated records in WorkflowTests; see source method.</x:v>
      </x:c>
      <x:c r="T45" s="194" t="str">
        <x:v>API integration (provider/auth doubles)</x:v>
      </x:c>
      <x:c r="U45" s="194" t="str">
        <x:v>Fine payment</x:v>
      </x:c>
    </x:row>
    <x:row r="46" ht="60" customHeight="1">
      <x:c r="A46" s="194" t="str">
        <x:v>IT-012</x:v>
      </x:c>
      <x:c r="B46" s="194" t="str">
        <x:v>Fine payment — PayOS_Checkout_DuplicateWebhook_SettlesExactlyOnce</x:v>
      </x:c>
      <x:c r="C46" s="194" t="str">
        <x:v>Create mocked checkout for 10000 VND; deliver success webhook twice.</x:v>
      </x:c>
      <x:c r="D46" s="194" t="str">
        <x:v>Fine/payment Paid; one payment only. Signature gate is mocked.</x:v>
      </x:c>
      <x:c r="E46" s="194" t="str">
        <x:v>WorkflowFixture: localhost PostgreSQL; actual services/EF; synthetic roles; mocked providers.</x:v>
      </x:c>
      <x:c r="F46" s="194" t="str">
        <x:v>Passed</x:v>
      </x:c>
      <x:c r="G46" s="194" t="str">
        <x:v>2026-10-27</x:v>
      </x:c>
      <x:c r="H46" s="194" t="str">
        <x:v>xUnit automation</x:v>
      </x:c>
      <x:c r="I46" s="194" t="str">
        <x:v>Not Tested</x:v>
      </x:c>
      <x:c r="J46" s="194" t="str"/>
      <x:c r="K46" s="194" t="str"/>
      <x:c r="L46" s="194" t="str">
        <x:v>Not Tested</x:v>
      </x:c>
      <x:c r="M46" s="194" t="str"/>
      <x:c r="N46" s="194" t="str"/>
      <x:c r="O46" s="194" t="str">
        <x:v>No live-provider or browser claim.</x:v>
      </x:c>
      <x:c r="P46" s="194" t="str">
        <x:v>All assertions completed successfully.</x:v>
      </x:c>
      <x:c r="Q46" s="194" t="str">
        <x:v>UC16, UC30</x:v>
      </x:c>
      <x:c r="R46" s="194" t="str">
        <x:v>evidence/integration.trx :: SmartLibrary.IntegrationTests.WorkflowTests.PayOS_Checkout_DuplicateWebhook_SettlesExactlyOnce</x:v>
      </x:c>
      <x:c r="S46" s="194" t="str">
        <x:v>Seed isolated records in WorkflowTests; see source method.</x:v>
      </x:c>
      <x:c r="T46" s="194" t="str">
        <x:v>API integration (provider/auth doubles)</x:v>
      </x:c>
      <x:c r="U46" s="194" t="str">
        <x:v>Fine payment</x:v>
      </x:c>
    </x:row>
    <x:row r="47" ht="60" customHeight="1">
      <x:c r="A47" s="194" t="str">
        <x:v>IT-013</x:v>
      </x:c>
      <x:c r="B47" s="194" t="str">
        <x:v>Borrow — ReaderOrAnonymous_CannotAccessStaffLoans(role: "Reader", expected: 403)</x:v>
      </x:c>
      <x:c r="C47" s="194" t="str">
        <x:v>GET staff loans with supplied role.</x:v>
      </x:c>
      <x:c r="D47" s="194" t="str">
        <x:v>Anonymous 401; Reader 403.</x:v>
      </x:c>
      <x:c r="E47" s="194" t="str">
        <x:v>WorkflowFixture: localhost PostgreSQL; actual services/EF; synthetic roles; mocked providers.</x:v>
      </x:c>
      <x:c r="F47" s="194" t="str">
        <x:v>Passed</x:v>
      </x:c>
      <x:c r="G47" s="194" t="str">
        <x:v>2026-10-27</x:v>
      </x:c>
      <x:c r="H47" s="194" t="str">
        <x:v>xUnit automation</x:v>
      </x:c>
      <x:c r="I47" s="194" t="str">
        <x:v>Not Tested</x:v>
      </x:c>
      <x:c r="J47" s="194" t="str"/>
      <x:c r="K47" s="194" t="str"/>
      <x:c r="L47" s="194" t="str">
        <x:v>Not Tested</x:v>
      </x:c>
      <x:c r="M47" s="194" t="str"/>
      <x:c r="N47" s="194" t="str"/>
      <x:c r="O47" s="194" t="str">
        <x:v>No live-provider or browser claim.</x:v>
      </x:c>
      <x:c r="P47" s="194" t="str">
        <x:v>All assertions completed successfully.</x:v>
      </x:c>
      <x:c r="Q47" s="194" t="str">
        <x:v>UC22</x:v>
      </x:c>
      <x:c r="R47" s="194" t="str">
        <x:v>evidence/integration.trx :: SmartLibrary.IntegrationTests.WorkflowTests.ReaderOrAnonymous_CannotAccessStaffLoans(role: "Reader", expected: 403)</x:v>
      </x:c>
      <x:c r="S47" s="194" t="str">
        <x:v>role: "Reader", expected: 403</x:v>
      </x:c>
      <x:c r="T47" s="194" t="str">
        <x:v>API integration (provider/auth doubles)</x:v>
      </x:c>
      <x:c r="U47" s="194" t="str">
        <x:v>Borrow</x:v>
      </x:c>
    </x:row>
    <x:row r="48" ht="60" customHeight="1">
      <x:c r="A48" s="194" t="str">
        <x:v>IT-014</x:v>
      </x:c>
      <x:c r="B48" s="194" t="str">
        <x:v>Borrow — ReaderOrAnonymous_CannotAccessStaffLoans(role: null, expected: 401)</x:v>
      </x:c>
      <x:c r="C48" s="194" t="str">
        <x:v>GET staff loans with supplied role.</x:v>
      </x:c>
      <x:c r="D48" s="194" t="str">
        <x:v>Anonymous 401; Reader 403.</x:v>
      </x:c>
      <x:c r="E48" s="194" t="str">
        <x:v>WorkflowFixture: localhost PostgreSQL; actual services/EF; synthetic roles; mocked providers.</x:v>
      </x:c>
      <x:c r="F48" s="194" t="str">
        <x:v>Passed</x:v>
      </x:c>
      <x:c r="G48" s="194" t="str">
        <x:v>2026-10-27</x:v>
      </x:c>
      <x:c r="H48" s="194" t="str">
        <x:v>xUnit automation</x:v>
      </x:c>
      <x:c r="I48" s="194" t="str">
        <x:v>Not Tested</x:v>
      </x:c>
      <x:c r="J48" s="194" t="str"/>
      <x:c r="K48" s="194" t="str"/>
      <x:c r="L48" s="194" t="str">
        <x:v>Not Tested</x:v>
      </x:c>
      <x:c r="M48" s="194" t="str"/>
      <x:c r="N48" s="194" t="str"/>
      <x:c r="O48" s="194" t="str">
        <x:v>No live-provider or browser claim.</x:v>
      </x:c>
      <x:c r="P48" s="194" t="str">
        <x:v>All assertions completed successfully.</x:v>
      </x:c>
      <x:c r="Q48" s="194" t="str">
        <x:v>UC22</x:v>
      </x:c>
      <x:c r="R48" s="194" t="str">
        <x:v>evidence/integration.trx :: SmartLibrary.IntegrationTests.WorkflowTests.ReaderOrAnonymous_CannotAccessStaffLoans(role: null, expected: 401)</x:v>
      </x:c>
      <x:c r="S48" s="194" t="str">
        <x:v>role: null, expected: 401</x:v>
      </x:c>
      <x:c r="T48" s="194" t="str">
        <x:v>API integration (provider/auth doubles)</x:v>
      </x:c>
      <x:c r="U48" s="194" t="str">
        <x:v>Borrow</x:v>
      </x:c>
    </x:row>
    <x:row r="49" ht="60" customHeight="1">
      <x:c r="A49" s="194" t="str">
        <x:v>IT-015</x:v>
      </x:c>
      <x:c r="B49" s="194" t="str">
        <x:v>Identity — Registration_Approve_ActivatesExternalReader_AndRejectAfterApprovalFails</x:v>
      </x:c>
      <x:c r="C49" s="194" t="str">
        <x:v>Seed Submitted; approve; attempt reject.</x:v>
      </x:c>
      <x:c r="D49" s="194" t="str">
        <x:v>Approved + Active + External + membership expiry; later reject unsuccessful.</x:v>
      </x:c>
      <x:c r="E49" s="194" t="str">
        <x:v>WorkflowFixture: localhost PostgreSQL; actual services/EF; synthetic roles; mocked providers.</x:v>
      </x:c>
      <x:c r="F49" s="194" t="str">
        <x:v>Passed</x:v>
      </x:c>
      <x:c r="G49" s="194" t="str">
        <x:v>2026-10-27</x:v>
      </x:c>
      <x:c r="H49" s="194" t="str">
        <x:v>xUnit automation</x:v>
      </x:c>
      <x:c r="I49" s="194" t="str">
        <x:v>Not Tested</x:v>
      </x:c>
      <x:c r="J49" s="194" t="str"/>
      <x:c r="K49" s="194" t="str"/>
      <x:c r="L49" s="194" t="str">
        <x:v>Not Tested</x:v>
      </x:c>
      <x:c r="M49" s="194" t="str"/>
      <x:c r="N49" s="194" t="str"/>
      <x:c r="O49" s="194" t="str">
        <x:v>No live-provider or browser claim.</x:v>
      </x:c>
      <x:c r="P49" s="194" t="str">
        <x:v>All assertions completed successfully.</x:v>
      </x:c>
      <x:c r="Q49" s="194" t="str">
        <x:v>UC18</x:v>
      </x:c>
      <x:c r="R49" s="194" t="str">
        <x:v>evidence/integration.trx :: SmartLibrary.IntegrationTests.WorkflowTests.Registration_Approve_ActivatesExternalReader_AndRejectAfterApprovalFails</x:v>
      </x:c>
      <x:c r="S49" s="194" t="str">
        <x:v>Seed isolated records in WorkflowTests; see source method.</x:v>
      </x:c>
      <x:c r="T49" s="194" t="str">
        <x:v>API integration (provider/auth doubles)</x:v>
      </x:c>
      <x:c r="U49" s="194" t="str">
        <x:v>Identity</x:v>
      </x:c>
    </x:row>
    <x:row r="50" ht="60" customHeight="1">
      <x:c r="A50" s="194" t="str">
        <x:v>IT-016</x:v>
      </x:c>
      <x:c r="B50" s="194" t="str">
        <x:v>Identity — Registration_ApprovedRequest_CannotBeReopenedForDocuments</x:v>
      </x:c>
      <x:c r="C50" s="194" t="str">
        <x:v>Approve Submitted request; call request-more-info on same ID.</x:v>
      </x:c>
      <x:c r="D50" s="194" t="str">
        <x:v>Reject invalid transition; retain Approved/Active. Actual call incorrectly succeeds.</x:v>
      </x:c>
      <x:c r="E50" s="194" t="str">
        <x:v>WorkflowFixture: localhost PostgreSQL; actual services/EF; synthetic roles; mocked providers.</x:v>
      </x:c>
      <x:c r="F50" s="194" t="str">
        <x:v>Failed</x:v>
      </x:c>
      <x:c r="G50" s="194" t="str">
        <x:v>2026-10-27</x:v>
      </x:c>
      <x:c r="H50" s="194" t="str">
        <x:v>xUnit automation</x:v>
      </x:c>
      <x:c r="I50" s="194" t="str">
        <x:v>Not Tested</x:v>
      </x:c>
      <x:c r="J50" s="194" t="str"/>
      <x:c r="K50" s="194" t="str"/>
      <x:c r="L50" s="194" t="str">
        <x:v>Not Tested</x:v>
      </x:c>
      <x:c r="M50" s="194" t="str"/>
      <x:c r="N50" s="194" t="str"/>
      <x:c r="O50" s="194" t="str">
        <x:v>R5-DEF-001</x:v>
      </x:c>
      <x:c r="P50" s="194" t="str">
        <x:v>An approved request must not be downgraded by a stale review action.</x:v>
      </x:c>
      <x:c r="Q50" s="194" t="str">
        <x:v>UC18</x:v>
      </x:c>
      <x:c r="R50" s="194" t="str">
        <x:v>evidence/integration.trx :: SmartLibrary.IntegrationTests.WorkflowTests.Registration_ApprovedRequest_CannotBeReopenedForDocuments</x:v>
      </x:c>
      <x:c r="S50" s="194" t="str">
        <x:v>Seed isolated records in WorkflowTests; see source method.</x:v>
      </x:c>
      <x:c r="T50" s="194" t="str">
        <x:v>API integration (provider/auth doubles)</x:v>
      </x:c>
      <x:c r="U50" s="194" t="str">
        <x:v>Identity</x:v>
      </x:c>
    </x:row>
    <x:row r="51" ht="60" customHeight="1">
      <x:c r="A51" s="194" t="str">
        <x:v>IT-017</x:v>
      </x:c>
      <x:c r="B51" s="194" t="str">
        <x:v>Identity — Registration_MoreInfo_ResubmissionCreatesNewRequest</x:v>
      </x:c>
      <x:c r="C51" s="194" t="str">
        <x:v>Request more info; reader submits synthetic multipart Front document.</x:v>
      </x:c>
      <x:c r="D51" s="194" t="str">
        <x:v>Old request NeedMoreInfo; a new Submitted request; account PendingApproval.</x:v>
      </x:c>
      <x:c r="E51" s="194" t="str">
        <x:v>WorkflowFixture: localhost PostgreSQL; actual services/EF; synthetic roles; mocked providers.</x:v>
      </x:c>
      <x:c r="F51" s="194" t="str">
        <x:v>Passed</x:v>
      </x:c>
      <x:c r="G51" s="194" t="str">
        <x:v>2026-10-27</x:v>
      </x:c>
      <x:c r="H51" s="194" t="str">
        <x:v>xUnit automation</x:v>
      </x:c>
      <x:c r="I51" s="194" t="str">
        <x:v>Not Tested</x:v>
      </x:c>
      <x:c r="J51" s="194" t="str"/>
      <x:c r="K51" s="194" t="str"/>
      <x:c r="L51" s="194" t="str">
        <x:v>Not Tested</x:v>
      </x:c>
      <x:c r="M51" s="194" t="str"/>
      <x:c r="N51" s="194" t="str"/>
      <x:c r="O51" s="194" t="str">
        <x:v>No live-provider or browser claim.</x:v>
      </x:c>
      <x:c r="P51" s="194" t="str">
        <x:v>All assertions completed successfully.</x:v>
      </x:c>
      <x:c r="Q51" s="194" t="str">
        <x:v>UC01, UC18</x:v>
      </x:c>
      <x:c r="R51" s="194" t="str">
        <x:v>evidence/integration.trx :: SmartLibrary.IntegrationTests.WorkflowTests.Registration_MoreInfo_ResubmissionCreatesNewRequest</x:v>
      </x:c>
      <x:c r="S51" s="194" t="str">
        <x:v>Seed isolated records in WorkflowTests; see source method.</x:v>
      </x:c>
      <x:c r="T51" s="194" t="str">
        <x:v>API integration (provider/auth doubles)</x:v>
      </x:c>
      <x:c r="U51" s="194" t="str">
        <x:v>Identity</x:v>
      </x:c>
    </x:row>
    <x:row r="52" ht="60" customHeight="1">
      <x:c r="A52" s="194" t="str">
        <x:v>IT-018</x:v>
      </x:c>
      <x:c r="B52" s="194" t="str">
        <x:v>Identity — Registration_Reject_PersistsReasonAndAccountState</x:v>
      </x:c>
      <x:c r="C52" s="194" t="str">
        <x:v>Seed Submitted; reject with unreadable-document reason.</x:v>
      </x:c>
      <x:c r="D52" s="194" t="str">
        <x:v>Request/account Rejected; reason persisted.</x:v>
      </x:c>
      <x:c r="E52" s="194" t="str">
        <x:v>WorkflowFixture: localhost PostgreSQL; actual services/EF; synthetic roles; mocked providers.</x:v>
      </x:c>
      <x:c r="F52" s="194" t="str">
        <x:v>Passed</x:v>
      </x:c>
      <x:c r="G52" s="194" t="str">
        <x:v>2026-10-27</x:v>
      </x:c>
      <x:c r="H52" s="194" t="str">
        <x:v>xUnit automation</x:v>
      </x:c>
      <x:c r="I52" s="194" t="str">
        <x:v>Not Tested</x:v>
      </x:c>
      <x:c r="J52" s="194" t="str"/>
      <x:c r="K52" s="194" t="str"/>
      <x:c r="L52" s="194" t="str">
        <x:v>Not Tested</x:v>
      </x:c>
      <x:c r="M52" s="194" t="str"/>
      <x:c r="N52" s="194" t="str"/>
      <x:c r="O52" s="194" t="str">
        <x:v>No live-provider or browser claim.</x:v>
      </x:c>
      <x:c r="P52" s="194" t="str">
        <x:v>All assertions completed successfully.</x:v>
      </x:c>
      <x:c r="Q52" s="194" t="str">
        <x:v>UC18</x:v>
      </x:c>
      <x:c r="R52" s="194" t="str">
        <x:v>evidence/integration.trx :: SmartLibrary.IntegrationTests.WorkflowTests.Registration_Reject_PersistsReasonAndAccountState</x:v>
      </x:c>
      <x:c r="S52" s="194" t="str">
        <x:v>Seed isolated records in WorkflowTests; see source method.</x:v>
      </x:c>
      <x:c r="T52" s="194" t="str">
        <x:v>API integration (provider/auth doubles)</x:v>
      </x:c>
      <x:c r="U52" s="194" t="str">
        <x:v>Identity</x:v>
      </x:c>
    </x:row>
    <x:row r="53" ht="60" customHeight="1">
      <x:c r="A53" s="194" t="str">
        <x:v>IT-019</x:v>
      </x:c>
      <x:c r="B53" s="194" t="str">
        <x:v>Return and incidents — Return_OverdueCopy_CreatesFineOrIncident(condition: "Damaged")</x:v>
      </x:c>
      <x:c r="C53" s="194" t="str">
        <x:v>Seed 3-day overdue loan; return with parameterized condition.</x:v>
      </x:c>
      <x:c r="D53" s="194" t="str">
        <x:v>Good: calendar overdue days × 5000 fine and available copy. Lost/Damaged: PendingReview incident, unavailable copy, no immediate fine.</x:v>
      </x:c>
      <x:c r="E53" s="194" t="str">
        <x:v>WorkflowFixture: localhost PostgreSQL; actual services/EF; synthetic roles; mocked providers.</x:v>
      </x:c>
      <x:c r="F53" s="194" t="str">
        <x:v>Passed</x:v>
      </x:c>
      <x:c r="G53" s="194" t="str">
        <x:v>2026-10-27</x:v>
      </x:c>
      <x:c r="H53" s="194" t="str">
        <x:v>xUnit automation</x:v>
      </x:c>
      <x:c r="I53" s="194" t="str">
        <x:v>Not Tested</x:v>
      </x:c>
      <x:c r="J53" s="194" t="str"/>
      <x:c r="K53" s="194" t="str"/>
      <x:c r="L53" s="194" t="str">
        <x:v>Not Tested</x:v>
      </x:c>
      <x:c r="M53" s="194" t="str"/>
      <x:c r="N53" s="194" t="str"/>
      <x:c r="O53" s="194" t="str">
        <x:v>No live-provider or browser claim.</x:v>
      </x:c>
      <x:c r="P53" s="194" t="str">
        <x:v>All assertions completed successfully.</x:v>
      </x:c>
      <x:c r="Q53" s="194" t="str">
        <x:v>UC24, UC26</x:v>
      </x:c>
      <x:c r="R53" s="194" t="str">
        <x:v>evidence/integration.trx :: SmartLibrary.IntegrationTests.WorkflowTests.Return_OverdueCopy_CreatesFineOrIncident(condition: "Damaged")</x:v>
      </x:c>
      <x:c r="S53" s="194" t="str">
        <x:v>condition: "Damaged"</x:v>
      </x:c>
      <x:c r="T53" s="194" t="str">
        <x:v>API integration (provider/auth doubles)</x:v>
      </x:c>
      <x:c r="U53" s="194" t="str">
        <x:v>Return and incidents</x:v>
      </x:c>
    </x:row>
    <x:row r="54" ht="60" customHeight="1">
      <x:c r="A54" s="194" t="str">
        <x:v>IT-020</x:v>
      </x:c>
      <x:c r="B54" s="194" t="str">
        <x:v>Return and incidents — Return_OverdueCopy_CreatesFineOrIncident(condition: "Good")</x:v>
      </x:c>
      <x:c r="C54" s="194" t="str">
        <x:v>Seed 3-day overdue loan; return with parameterized condition.</x:v>
      </x:c>
      <x:c r="D54" s="194" t="str">
        <x:v>Good: calendar overdue days × 5000 fine and available copy. Lost/Damaged: PendingReview incident, unavailable copy, no immediate fine.</x:v>
      </x:c>
      <x:c r="E54" s="194" t="str">
        <x:v>WorkflowFixture: localhost PostgreSQL; actual services/EF; synthetic roles; mocked providers.</x:v>
      </x:c>
      <x:c r="F54" s="194" t="str">
        <x:v>Passed</x:v>
      </x:c>
      <x:c r="G54" s="194" t="str">
        <x:v>2026-10-27</x:v>
      </x:c>
      <x:c r="H54" s="194" t="str">
        <x:v>xUnit automation</x:v>
      </x:c>
      <x:c r="I54" s="194" t="str">
        <x:v>Not Tested</x:v>
      </x:c>
      <x:c r="J54" s="194" t="str"/>
      <x:c r="K54" s="194" t="str"/>
      <x:c r="L54" s="194" t="str">
        <x:v>Not Tested</x:v>
      </x:c>
      <x:c r="M54" s="194" t="str"/>
      <x:c r="N54" s="194" t="str"/>
      <x:c r="O54" s="194" t="str">
        <x:v>No live-provider or browser claim.</x:v>
      </x:c>
      <x:c r="P54" s="194" t="str">
        <x:v>All assertions completed successfully.</x:v>
      </x:c>
      <x:c r="Q54" s="194" t="str">
        <x:v>UC24, UC26</x:v>
      </x:c>
      <x:c r="R54" s="194" t="str">
        <x:v>evidence/integration.trx :: SmartLibrary.IntegrationTests.WorkflowTests.Return_OverdueCopy_CreatesFineOrIncident(condition: "Good")</x:v>
      </x:c>
      <x:c r="S54" s="194" t="str">
        <x:v>condition: "Good"</x:v>
      </x:c>
      <x:c r="T54" s="194" t="str">
        <x:v>API integration (provider/auth doubles)</x:v>
      </x:c>
      <x:c r="U54" s="194" t="str">
        <x:v>Return and incidents</x:v>
      </x:c>
    </x:row>
    <x:row r="55" ht="60" customHeight="1">
      <x:c r="A55" s="194" t="str">
        <x:v>IT-021</x:v>
      </x:c>
      <x:c r="B55" s="194" t="str">
        <x:v>Return and incidents — Return_OverdueCopy_CreatesFineOrIncident(condition: "Lost")</x:v>
      </x:c>
      <x:c r="C55" s="194" t="str">
        <x:v>Seed 3-day overdue loan; return with parameterized condition.</x:v>
      </x:c>
      <x:c r="D55" s="194" t="str">
        <x:v>Good: calendar overdue days × 5000 fine and available copy. Lost/Damaged: PendingReview incident, unavailable copy, no immediate fine.</x:v>
      </x:c>
      <x:c r="E55" s="194" t="str">
        <x:v>WorkflowFixture: localhost PostgreSQL; actual services/EF; synthetic roles; mocked providers.</x:v>
      </x:c>
      <x:c r="F55" s="194" t="str">
        <x:v>Passed</x:v>
      </x:c>
      <x:c r="G55" s="194" t="str">
        <x:v>2026-10-27</x:v>
      </x:c>
      <x:c r="H55" s="194" t="str">
        <x:v>xUnit automation</x:v>
      </x:c>
      <x:c r="I55" s="194" t="str">
        <x:v>Not Tested</x:v>
      </x:c>
      <x:c r="J55" s="194" t="str"/>
      <x:c r="K55" s="194" t="str"/>
      <x:c r="L55" s="194" t="str">
        <x:v>Not Tested</x:v>
      </x:c>
      <x:c r="M55" s="194" t="str"/>
      <x:c r="N55" s="194" t="str"/>
      <x:c r="O55" s="194" t="str">
        <x:v>No live-provider or browser claim.</x:v>
      </x:c>
      <x:c r="P55" s="194" t="str">
        <x:v>All assertions completed successfully.</x:v>
      </x:c>
      <x:c r="Q55" s="194" t="str">
        <x:v>UC24, UC26</x:v>
      </x:c>
      <x:c r="R55" s="194" t="str">
        <x:v>evidence/integration.trx :: SmartLibrary.IntegrationTests.WorkflowTests.Return_OverdueCopy_CreatesFineOrIncident(condition: "Lost")</x:v>
      </x:c>
      <x:c r="S55" s="194" t="str">
        <x:v>condition: "Lost"</x:v>
      </x:c>
      <x:c r="T55" s="194" t="str">
        <x:v>API integration (provider/auth doubles)</x:v>
      </x:c>
      <x:c r="U55" s="194" t="str">
        <x:v>Return and incidents</x:v>
      </x:c>
    </x:row>
    <x:row r="56" ht="60" customHeight="1">
      <x:c r="A56" s="194" t="str">
        <x:v>SM-04</x:v>
      </x:c>
      <x:c r="B56" s="194" t="str">
        <x:v>Identity — Full entity lifecycle and invalid transitions</x:v>
      </x:c>
      <x:c r="C56" s="194" t="str">
        <x:v>Approve/reject/NeedMoreInfo from Submitted; resubmit documents; try request-more-info after approval.</x:v>
      </x:c>
      <x:c r="D56" s="194" t="str">
        <x:v>New Submitted request after resubmission; reject invalid terminal-state actions. Known bug R5-DEF-001 remains open.</x:v>
      </x:c>
      <x:c r="E56" s="194" t="str">
        <x:v>WorkflowFixture: disposable localhost PostgreSQL; real controllers/services/EF; synthetic identity headers and mocked external providers.</x:v>
      </x:c>
      <x:c r="F56" s="194" t="str">
        <x:v>Failed</x:v>
      </x:c>
      <x:c r="G56" s="194" t="str">
        <x:v>2026-10-27</x:v>
      </x:c>
      <x:c r="H56" s="194" t="str">
        <x:v>xUnit API automation</x:v>
      </x:c>
      <x:c r="I56" s="194" t="str">
        <x:v>Not Tested</x:v>
      </x:c>
      <x:c r="J56" s="194" t="str"/>
      <x:c r="K56" s="194" t="str"/>
      <x:c r="L56" s="194" t="str">
        <x:v>Not Tested</x:v>
      </x:c>
      <x:c r="M56" s="194" t="str"/>
      <x:c r="N56" s="194" t="str"/>
      <x:c r="O56" s="194" t="str">
        <x:v>R5-DEF-001: approved registration reopened.</x:v>
      </x:c>
      <x:c r="P56" s="194" t="str">
        <x:v>An approved request must not be downgraded by a stale review action.</x:v>
      </x:c>
      <x:c r="Q56" s="194" t="str">
        <x:v>UC01, UC18</x:v>
      </x:c>
      <x:c r="R56" s="194" t="str">
        <x:v>evidence/planned-api/planned-api.trx :: SmartLibrary.IntegrationTests.Report5PlannedTests.SM_04_RegistrationLifecycle</x:v>
      </x:c>
      <x:c r="S56" s="194" t="str">
        <x:v>Synthetic records created per test; exact payloads and assertions in Report5PlannedTests.cs. No shared user data.</x:v>
      </x:c>
      <x:c r="T56" s="194" t="str">
        <x:v>API scenario execution (provider/auth doubles)</x:v>
      </x:c>
      <x:c r="U56" s="194" t="str">
        <x:v>Identity</x:v>
      </x:c>
    </x:row>
    <x:row r="57" ht="60" customHeight="1">
      <x:c r="A57" s="194" t="str">
        <x:v>NFR-LOCAL-001</x:v>
      </x:c>
      <x:c r="B57" s="194" t="str">
        <x:v>Performance — Local HTTP burst at concurrency 1</x:v>
      </x:c>
      <x:c r="C57" s="194" t="str">
        <x:v>60 warmup requests; 1200 measured requests per level; 1:1:1 catalog page1/page10/copy summary; closed loop, no think time.</x:v>
      </x:c>
      <x:c r="D57" s="194" t="str">
        <x:v>Đề xuất: API p95 &lt;2000 ms and zero HTTP errors. This does not certify SRS page-load/100-user targets.</x:v>
      </x:c>
      <x:c r="E57" s="194" t="str">
        <x:v>.NET 10.0.13 Kestrel + PostgreSQL 17.11; macOS 15.3 Arm64; 10 logical processors; same-host generator.</x:v>
      </x:c>
      <x:c r="F57" s="194" t="str">
        <x:v>Passed</x:v>
      </x:c>
      <x:c r="G57" s="194" t="str">
        <x:v>2026-10-27</x:v>
      </x:c>
      <x:c r="H57" s="194" t="str">
        <x:v>Opt-in NfrProbeTests</x:v>
      </x:c>
      <x:c r="I57" s="194" t="str">
        <x:v>Not Tested</x:v>
      </x:c>
      <x:c r="J57" s="194" t="str"/>
      <x:c r="K57" s="194" t="str"/>
      <x:c r="L57" s="194" t="str">
        <x:v>Not Tested</x:v>
      </x:c>
      <x:c r="M57" s="194" t="str"/>
      <x:c r="N57" s="194" t="str"/>
      <x:c r="O57" s="194" t="str">
        <x:v>One short run, warm cache, no TLS/providers/browser/AI; not sustained production load.</x:v>
      </x:c>
      <x:c r="P57" s="194" t="str">
        <x:v>p95=3.73 ms; p99=4.76 ms; errors=0; 320.4 req/s; 3.745s burst.</x:v>
      </x:c>
      <x:c r="Q57" s="194" t="str">
        <x:v>NFR-P01 / NFR-P02 (partial)</x:v>
      </x:c>
      <x:c r="R57" s="194" t="str">
        <x:v>evidence/nfr-local.json</x:v>
      </x:c>
      <x:c r="S57" s="194" t="str">
        <x:v>1000 titles, 4000 copies, 3 accounts, 0 loans; CPU model/RAM not available (hardware query permission denied).</x:v>
      </x:c>
      <x:c r="T57" s="194" t="str">
        <x:v>Local NFR experiment</x:v>
      </x:c>
      <x:c r="U57" s="194" t="str">
        <x:v>Performance</x:v>
      </x:c>
    </x:row>
    <x:row r="58" ht="60" customHeight="1">
      <x:c r="A58" s="194" t="str">
        <x:v>NFR-LOCAL-010</x:v>
      </x:c>
      <x:c r="B58" s="194" t="str">
        <x:v>Performance — Local HTTP burst at concurrency 10</x:v>
      </x:c>
      <x:c r="C58" s="194" t="str">
        <x:v>60 warmup requests; 1200 measured requests per level; 1:1:1 catalog page1/page10/copy summary; closed loop, no think time.</x:v>
      </x:c>
      <x:c r="D58" s="194" t="str">
        <x:v>Đề xuất: API p95 &lt;2000 ms and zero HTTP errors. This does not certify SRS page-load/100-user targets.</x:v>
      </x:c>
      <x:c r="E58" s="194" t="str">
        <x:v>.NET 10.0.13 Kestrel + PostgreSQL 17.11; macOS 15.3 Arm64; 10 logical processors; same-host generator.</x:v>
      </x:c>
      <x:c r="F58" s="194" t="str">
        <x:v>Passed</x:v>
      </x:c>
      <x:c r="G58" s="194" t="str">
        <x:v>2026-10-27</x:v>
      </x:c>
      <x:c r="H58" s="194" t="str">
        <x:v>Opt-in NfrProbeTests</x:v>
      </x:c>
      <x:c r="I58" s="194" t="str">
        <x:v>Not Tested</x:v>
      </x:c>
      <x:c r="J58" s="194" t="str"/>
      <x:c r="K58" s="194" t="str"/>
      <x:c r="L58" s="194" t="str">
        <x:v>Not Tested</x:v>
      </x:c>
      <x:c r="M58" s="194" t="str"/>
      <x:c r="N58" s="194" t="str"/>
      <x:c r="O58" s="194" t="str">
        <x:v>One short run, warm cache, no TLS/providers/browser/AI; not sustained production load.</x:v>
      </x:c>
      <x:c r="P58" s="194" t="str">
        <x:v>p95=13.22 ms; p99=22.41 ms; errors=0; 1351.1 req/s; 0.888s burst.</x:v>
      </x:c>
      <x:c r="Q58" s="194" t="str">
        <x:v>NFR-P01 / NFR-P02 (partial)</x:v>
      </x:c>
      <x:c r="R58" s="194" t="str">
        <x:v>evidence/nfr-local.json</x:v>
      </x:c>
      <x:c r="S58" s="194" t="str">
        <x:v>1000 titles, 4000 copies, 3 accounts, 0 loans; CPU model/RAM not available (hardware query permission denied).</x:v>
      </x:c>
      <x:c r="T58" s="194" t="str">
        <x:v>Local NFR experiment</x:v>
      </x:c>
      <x:c r="U58" s="194" t="str">
        <x:v>Performance</x:v>
      </x:c>
    </x:row>
    <x:row r="59" ht="60" customHeight="1">
      <x:c r="A59" s="194" t="str">
        <x:v>NFR-LOCAL-050</x:v>
      </x:c>
      <x:c r="B59" s="194" t="str">
        <x:v>Performance — Local HTTP burst at concurrency 50</x:v>
      </x:c>
      <x:c r="C59" s="194" t="str">
        <x:v>60 warmup requests; 1200 measured requests per level; 1:1:1 catalog page1/page10/copy summary; closed loop, no think time.</x:v>
      </x:c>
      <x:c r="D59" s="194" t="str">
        <x:v>Đề xuất: API p95 &lt;2000 ms and zero HTTP errors. This does not certify SRS page-load/100-user targets.</x:v>
      </x:c>
      <x:c r="E59" s="194" t="str">
        <x:v>.NET 10.0.13 Kestrel + PostgreSQL 17.11; macOS 15.3 Arm64; 10 logical processors; same-host generator.</x:v>
      </x:c>
      <x:c r="F59" s="194" t="str">
        <x:v>Passed</x:v>
      </x:c>
      <x:c r="G59" s="194" t="str">
        <x:v>2026-10-27</x:v>
      </x:c>
      <x:c r="H59" s="194" t="str">
        <x:v>Opt-in NfrProbeTests</x:v>
      </x:c>
      <x:c r="I59" s="194" t="str">
        <x:v>Not Tested</x:v>
      </x:c>
      <x:c r="J59" s="194" t="str"/>
      <x:c r="K59" s="194" t="str"/>
      <x:c r="L59" s="194" t="str">
        <x:v>Not Tested</x:v>
      </x:c>
      <x:c r="M59" s="194" t="str"/>
      <x:c r="N59" s="194" t="str"/>
      <x:c r="O59" s="194" t="str">
        <x:v>One short run, warm cache, no TLS/providers/browser/AI; not sustained production load.</x:v>
      </x:c>
      <x:c r="P59" s="194" t="str">
        <x:v>p95=50.08 ms; p99=85.65 ms; errors=0; 1360.1 req/s; 0.882s burst.</x:v>
      </x:c>
      <x:c r="Q59" s="194" t="str">
        <x:v>NFR-P01 / NFR-P02 (partial)</x:v>
      </x:c>
      <x:c r="R59" s="194" t="str">
        <x:v>evidence/nfr-local.json</x:v>
      </x:c>
      <x:c r="S59" s="194" t="str">
        <x:v>1000 titles, 4000 copies, 3 accounts, 0 loans; CPU model/RAM not available (hardware query permission denied).</x:v>
      </x:c>
      <x:c r="T59" s="194" t="str">
        <x:v>Local NFR experiment</x:v>
      </x:c>
      <x:c r="U59" s="194" t="str">
        <x:v>Performance</x:v>
      </x:c>
    </x:row>
    <x:row r="60" ht="60" customHeight="1">
      <x:c r="A60" s="194" t="str">
        <x:v>NFR-LOCAL-100</x:v>
      </x:c>
      <x:c r="B60" s="194" t="str">
        <x:v>Performance — Local HTTP burst at concurrency 100</x:v>
      </x:c>
      <x:c r="C60" s="194" t="str">
        <x:v>60 warmup requests; 1200 measured requests per level; 1:1:1 catalog page1/page10/copy summary; closed loop, no think time.</x:v>
      </x:c>
      <x:c r="D60" s="194" t="str">
        <x:v>Đề xuất: API p95 &lt;2000 ms and zero HTTP errors. This does not certify SRS page-load/100-user targets.</x:v>
      </x:c>
      <x:c r="E60" s="194" t="str">
        <x:v>.NET 10.0.13 Kestrel + PostgreSQL 17.11; macOS 15.3 Arm64; 10 logical processors; same-host generator.</x:v>
      </x:c>
      <x:c r="F60" s="194" t="str">
        <x:v>Passed</x:v>
      </x:c>
      <x:c r="G60" s="194" t="str">
        <x:v>2026-10-27</x:v>
      </x:c>
      <x:c r="H60" s="194" t="str">
        <x:v>Opt-in NfrProbeTests</x:v>
      </x:c>
      <x:c r="I60" s="194" t="str">
        <x:v>Not Tested</x:v>
      </x:c>
      <x:c r="J60" s="194" t="str"/>
      <x:c r="K60" s="194" t="str"/>
      <x:c r="L60" s="194" t="str">
        <x:v>Not Tested</x:v>
      </x:c>
      <x:c r="M60" s="194" t="str"/>
      <x:c r="N60" s="194" t="str"/>
      <x:c r="O60" s="194" t="str">
        <x:v>One short run, warm cache, no TLS/providers/browser/AI; not sustained production load.</x:v>
      </x:c>
      <x:c r="P60" s="194" t="str">
        <x:v>p95=152.29 ms; p99=195.97 ms; errors=0; 1135.9 req/s; 1.056s burst.</x:v>
      </x:c>
      <x:c r="Q60" s="194" t="str">
        <x:v>NFR-P01 / NFR-P02 (partial)</x:v>
      </x:c>
      <x:c r="R60" s="194" t="str">
        <x:v>evidence/nfr-local.json</x:v>
      </x:c>
      <x:c r="S60" s="194" t="str">
        <x:v>1000 titles, 4000 copies, 3 accounts, 0 loans; CPU model/RAM not available (hardware query permission denied).</x:v>
      </x:c>
      <x:c r="T60" s="194" t="str">
        <x:v>Local NFR experiment</x:v>
      </x:c>
      <x:c r="U60" s="194" t="str">
        <x:v>Performance</x:v>
      </x:c>
    </x:row>
  </x:sheetData>
  <x:mergeCells>
    <x:mergeCell ref="B2:E2"/>
    <x:mergeCell ref="B4:E4"/>
    <x:mergeCell ref="B3:E3"/>
  </x:mergeCells>
  <x:conditionalFormatting sqref="F12:F60">
    <x:cfRule type="containsText" dxfId="0" priority="1" operator="containsText" text="Passed"/>
    <x:cfRule type="containsText" dxfId="1" priority="2" operator="containsText" text="Failed"/>
    <x:cfRule type="containsText" dxfId="2" priority="3" operator="containsText" text="Not Tested"/>
  </x:conditionalFormatting>
  <x:conditionalFormatting sqref="I12:I60">
    <x:cfRule type="containsText" dxfId="3" priority="4" operator="containsText" text="Passed"/>
    <x:cfRule type="containsText" dxfId="4" priority="5" operator="containsText" text="Failed"/>
    <x:cfRule type="containsText" dxfId="5" priority="6" operator="containsText" text="Not Tested"/>
  </x:conditionalFormatting>
  <x:conditionalFormatting sqref="L12:L60">
    <x:cfRule type="containsText" dxfId="6" priority="7" operator="containsText" text="Passed"/>
    <x:cfRule type="containsText" dxfId="7" priority="8" operator="containsText" text="Failed"/>
    <x:cfRule type="containsText" dxfId="8" priority="9" operator="containsText" text="Not Tested"/>
  </x:conditionalFormatting>
  <x:dataValidations count="13">
    <x:dataValidation type="list" allowBlank="1" showErrorMessage="1" sqref="G2:G3">
      <x:formula1>$R$2:$R$5</x:formula1>
      <x:formula2>0</x:formula2>
    </x:dataValidation>
    <x:dataValidation type="list" allowBlank="1" showErrorMessage="1" sqref="G9">
      <x:formula1>$R$2:$R$5</x:formula1>
      <x:formula2>0</x:formula2>
    </x:dataValidation>
    <x:dataValidation type="list" allowBlank="1" showErrorMessage="1" sqref="G20:G147">
      <x:formula1>$R$2:$R$5</x:formula1>
      <x:formula2>0</x:formula2>
    </x:dataValidation>
    <x:dataValidation type="list" allowBlank="1" showErrorMessage="1" sqref="J2:J3">
      <x:formula1>$R$2:$R$5</x:formula1>
      <x:formula2>0</x:formula2>
    </x:dataValidation>
    <x:dataValidation type="list" allowBlank="1" showErrorMessage="1" sqref="J9">
      <x:formula1>$R$2:$R$5</x:formula1>
      <x:formula2>0</x:formula2>
    </x:dataValidation>
    <x:dataValidation type="list" allowBlank="1" showErrorMessage="1" sqref="J20:J147">
      <x:formula1>$R$2:$R$5</x:formula1>
      <x:formula2>0</x:formula2>
    </x:dataValidation>
    <x:dataValidation type="list" allowBlank="1" showErrorMessage="1" sqref="M2:M3">
      <x:formula1>$R$2:$R$5</x:formula1>
      <x:formula2>0</x:formula2>
    </x:dataValidation>
    <x:dataValidation type="list" allowBlank="1" showErrorMessage="1" sqref="M9">
      <x:formula1>$R$2:$R$5</x:formula1>
      <x:formula2>0</x:formula2>
    </x:dataValidation>
    <x:dataValidation type="list" allowBlank="1" showErrorMessage="1" sqref="M20:M147">
      <x:formula1>$R$2:$R$5</x:formula1>
      <x:formula2>0</x:formula2>
    </x:dataValidation>
    <x:dataValidation allowBlank="1" showErrorMessage="1" sqref="F10 I10 L10"/>
    <x:dataValidation type="list" sqref="F12:F60">
      <x:formula1>"Passed,Failed,Not Tested,N/A"</x:formula1>
    </x:dataValidation>
    <x:dataValidation type="list" sqref="I12:I60">
      <x:formula1>"Passed,Failed,Not Tested,N/A"</x:formula1>
    </x:dataValidation>
    <x:dataValidation type="list" sqref="L12:L60">
      <x:formula1>"Passed,Failed,Not Tested,N/A"</x:formula1>
    </x:dataValidation>
  </x:dataValidations>
  <x:pageMargins left="0.7" right="0.7" top="0.75" bottom="0.75" header="0.3" footer="0.3"/>
  <x:legacyDrawing xmlns:r="http://schemas.openxmlformats.org/officeDocument/2006/relationships" r:id="R1ad7fac3f0ea46b4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0" topLeftCell="C11" activePane="bottomRight" state="frozen"/>
    </x:sheetView>
  </x:sheetViews>
  <x:sheetFormatPr baseColWidth="10" defaultColWidth="9" defaultRowHeight="13"/>
  <x:cols>
    <x:col min="1" max="1" width="16" style="1" hidden="0" customWidth="1"/>
    <x:col min="2" max="2" width="44" style="1" hidden="0" customWidth="1"/>
    <x:col min="3" max="3" width="48" style="1" hidden="0" customWidth="1"/>
    <x:col min="4" max="4" width="48" style="1" hidden="0" customWidth="1"/>
    <x:col min="5" max="5" width="42" style="1" hidden="0" customWidth="1"/>
    <x:col min="6" max="6" width="14" style="1" hidden="0" customWidth="1"/>
    <x:col min="7" max="7" width="13" style="1" hidden="0" customWidth="1"/>
    <x:col min="8" max="8" width="20" style="29" hidden="0" customWidth="1"/>
    <x:col min="9" max="9" width="14" style="1" hidden="0" customWidth="1"/>
    <x:col min="10" max="10" width="13" style="1" hidden="0" customWidth="1"/>
    <x:col min="11" max="11" width="20" style="29" hidden="0" customWidth="1"/>
    <x:col min="12" max="12" width="14" style="1" hidden="0" customWidth="1"/>
    <x:col min="13" max="13" width="13" style="1" hidden="0" customWidth="1"/>
    <x:col min="14" max="14" width="20" style="29" hidden="0" customWidth="1"/>
    <x:col min="15" max="15" width="36" style="29" hidden="0" customWidth="1"/>
    <x:col min="16" max="16" width="48" style="1" hidden="0" customWidth="1"/>
    <x:col min="17" max="17" width="22" style="30" hidden="0" customWidth="1"/>
    <x:col min="18" max="18" width="48" style="1" hidden="0" customWidth="1"/>
    <x:col min="19" max="16384" width="9" style="1" customWidth="0"/>
    <x:col min="21" max="21" width="30" hidden="0" customWidth="1"/>
    <x:col min="19" max="19" width="40" hidden="0" customWidth="1"/>
    <x:col min="20" max="20" width="26" hidden="0" customWidth="1"/>
  </x:cols>
  <x:sheetData>
    <x:row r="1" ht="14"/>
    <x:row r="2" s="32" customFormat="1" ht="15" customHeight="1">
      <x:c r="A2" s="99" t="s">
        <x:v>23</x:v>
      </x:c>
      <x:c r="B2" s="109" t="str">
        <x:v>Planned system and browser workflow tests</x:v>
      </x:c>
      <x:c r="C2" s="109"/>
      <x:c r="D2" s="109"/>
      <x:c r="E2" s="110"/>
      <x:c r="F2" s="89"/>
      <x:c r="G2" s="83"/>
      <x:c r="H2" s="33"/>
      <x:c r="I2" s="89"/>
      <x:c r="J2" s="83"/>
      <x:c r="K2" s="33"/>
      <x:c r="L2" s="89"/>
      <x:c r="M2" s="83"/>
      <x:c r="N2" s="33"/>
      <x:c r="O2" s="33"/>
      <x:c r="P2" s="9"/>
      <x:c r="Q2" s="31"/>
      <x:c r="R2" s="32" t="s">
        <x:v>24</x:v>
      </x:c>
    </x:row>
    <x:row r="3" s="32" customFormat="1" ht="42" customHeight="1">
      <x:c r="A3" s="100" t="s">
        <x:v>25</x:v>
      </x:c>
      <x:c r="B3" s="163" t="str">
        <x:v>Temporary case IDs; requirement references use Report 3 UC numbering. Pass at case level is not feature acceptance.</x:v>
      </x:c>
      <x:c r="C3" s="163"/>
      <x:c r="D3" s="163"/>
      <x:c r="E3" s="164"/>
      <x:c r="F3" s="89"/>
      <x:c r="G3" s="83"/>
      <x:c r="H3" s="33"/>
      <x:c r="I3" s="89"/>
      <x:c r="J3" s="83"/>
      <x:c r="K3" s="33"/>
      <x:c r="L3" s="89"/>
      <x:c r="M3" s="83"/>
      <x:c r="N3" s="33"/>
      <x:c r="O3" s="33"/>
      <x:c r="P3" s="9"/>
      <x:c r="Q3" s="31"/>
      <x:c r="R3" s="32" t="s">
        <x:v>26</x:v>
      </x:c>
    </x:row>
    <x:row r="4" s="32" customFormat="1" ht="18" customHeight="1">
      <x:c r="A4" s="100" t="s">
        <x:v>27</x:v>
      </x:c>
      <x:c r="B4" s="111" t="n">
        <x:f>COUNTA(A12:A49)</x:f>
        <x:v>38</x:v>
      </x:c>
      <x:c r="C4" s="111"/>
      <x:c r="D4" s="111"/>
      <x:c r="E4" s="112"/>
      <x:c r="F4" s="89"/>
      <x:c r="G4" s="83"/>
      <x:c r="H4" s="33"/>
      <x:c r="I4" s="89"/>
      <x:c r="J4" s="83"/>
      <x:c r="K4" s="33"/>
      <x:c r="L4" s="89"/>
      <x:c r="M4" s="83"/>
      <x:c r="N4" s="33"/>
      <x:c r="O4" s="33"/>
      <x:c r="P4" s="9"/>
      <x:c r="Q4" s="31"/>
      <x:c r="R4" s="32" t="s">
        <x:v>28</x:v>
      </x:c>
    </x:row>
    <x:row r="5" s="32" customFormat="1" ht="19.5" customHeight="1">
      <x:c r="A5" s="93" t="s">
        <x:v>29</x:v>
      </x:c>
      <x:c r="B5" s="91" t="str">
        <x:v>Passed</x:v>
      </x:c>
      <x:c r="C5" s="91" t="str">
        <x:v>Failed</x:v>
      </x:c>
      <x:c r="D5" s="91" t="str">
        <x:v>Not Tested</x:v>
      </x:c>
      <x:c r="E5" s="94" t="str">
        <x:v>N/A</x:v>
      </x:c>
      <x:c r="F5" s="84"/>
      <x:c r="G5" s="84"/>
      <x:c r="H5" s="34"/>
      <x:c r="I5" s="84"/>
      <x:c r="J5" s="84"/>
      <x:c r="K5" s="34"/>
      <x:c r="L5" s="84"/>
      <x:c r="M5" s="84"/>
      <x:c r="N5" s="34"/>
      <x:c r="O5" s="34"/>
      <x:c r="P5" s="34"/>
      <x:c r="Q5" s="35"/>
      <x:c r="R5" s="32" t="s">
        <x:v>30</x:v>
      </x:c>
    </x:row>
    <x:row r="6" s="32" customFormat="1" ht="15" customHeight="1">
      <x:c r="A6" s="93" t="s">
        <x:v>31</x:v>
      </x:c>
      <x:c r="B6" s="92" t="n">
        <x:f>COUNTIF($F$12:$F$49,B$5)</x:f>
        <x:v>0</x:v>
      </x:c>
      <x:c r="C6" s="92" t="n">
        <x:f>COUNTIF($F$12:$F$49,C$5)</x:f>
        <x:v>0</x:v>
      </x:c>
      <x:c r="D6" s="92" t="n">
        <x:f>COUNTIF($F$12:$F$49,D$5)</x:f>
        <x:v>38</x:v>
      </x:c>
      <x:c r="E6" s="98" t="n">
        <x:f>COUNTIF($F$12:$F$49,E$5)</x:f>
        <x:v>0</x:v>
      </x:c>
      <x:c r="F6" s="85"/>
      <x:c r="G6" s="85"/>
      <x:c r="H6" s="34"/>
      <x:c r="I6" s="85"/>
      <x:c r="J6" s="85"/>
      <x:c r="K6" s="34"/>
      <x:c r="L6" s="85"/>
      <x:c r="M6" s="85"/>
      <x:c r="N6" s="34"/>
      <x:c r="O6" s="34"/>
      <x:c r="P6" s="34"/>
      <x:c r="Q6" s="35"/>
    </x:row>
    <x:row r="7" s="32" customFormat="1" ht="15" customHeight="1">
      <x:c r="A7" s="93" t="s">
        <x:v>32</x:v>
      </x:c>
      <x:c r="B7" s="92" t="n">
        <x:f>COUNTIF($I$12:$I$49,B$5)</x:f>
        <x:v>0</x:v>
      </x:c>
      <x:c r="C7" s="92" t="n">
        <x:f>COUNTIF($I$12:$I$49,C$5)</x:f>
        <x:v>0</x:v>
      </x:c>
      <x:c r="D7" s="92" t="n">
        <x:f>COUNTIF($I$12:$I$49,D$5)</x:f>
        <x:v>38</x:v>
      </x:c>
      <x:c r="E7" s="98" t="n">
        <x:f>COUNTIF($I$12:$I$49,E$5)</x:f>
        <x:v>0</x:v>
      </x:c>
      <x:c r="F7" s="85"/>
      <x:c r="G7" s="85"/>
      <x:c r="H7" s="34"/>
      <x:c r="I7" s="85"/>
      <x:c r="J7" s="85"/>
      <x:c r="K7" s="34"/>
      <x:c r="L7" s="85"/>
      <x:c r="M7" s="85"/>
      <x:c r="N7" s="34"/>
      <x:c r="O7" s="34"/>
      <x:c r="P7" s="34"/>
      <x:c r="Q7" s="35"/>
    </x:row>
    <x:row r="8" s="32" customFormat="1" ht="15" customHeight="1">
      <x:c r="A8" s="95" t="s">
        <x:v>33</x:v>
      </x:c>
      <x:c r="B8" s="96" t="n">
        <x:f>COUNTIF($L$12:$L$49,B$5)</x:f>
        <x:v>0</x:v>
      </x:c>
      <x:c r="C8" s="96" t="n">
        <x:f>COUNTIF($L$12:$L$49,C$5)</x:f>
        <x:v>0</x:v>
      </x:c>
      <x:c r="D8" s="96" t="n">
        <x:f>COUNTIF($L$12:$L$49,D$5)</x:f>
        <x:v>38</x:v>
      </x:c>
      <x:c r="E8" s="97" t="n">
        <x:f>COUNTIF($L$12:$L$49,E$5)</x:f>
        <x:v>0</x:v>
      </x:c>
      <x:c r="F8" s="85"/>
      <x:c r="G8" s="85"/>
      <x:c r="H8" s="34"/>
      <x:c r="I8" s="85"/>
      <x:c r="J8" s="85"/>
      <x:c r="K8" s="34"/>
      <x:c r="L8" s="85"/>
      <x:c r="M8" s="85"/>
      <x:c r="N8" s="34"/>
      <x:c r="O8" s="34"/>
      <x:c r="P8" s="34"/>
      <x:c r="Q8" s="35"/>
    </x:row>
    <x:row r="9" s="32" customFormat="1" ht="15" customHeight="1">
      <x:c r="A9" s="34"/>
      <x:c r="B9" s="34"/>
      <x:c r="C9" s="34"/>
      <x:c r="D9" s="34"/>
      <x:c r="E9" s="34"/>
      <x:c r="F9" s="36"/>
      <x:c r="G9" s="34"/>
      <x:c r="H9" s="34"/>
      <x:c r="I9" s="36"/>
      <x:c r="J9" s="34"/>
      <x:c r="K9" s="34"/>
      <x:c r="L9" s="36"/>
      <x:c r="M9" s="34"/>
      <x:c r="N9" s="34"/>
      <x:c r="O9" s="34"/>
      <x:c r="P9" s="34"/>
      <x:c r="Q9" s="35"/>
    </x:row>
    <x:row r="10" s="32" customFormat="1" ht="32" customHeight="1">
      <x:c r="A10" s="172" t="str">
        <x:v>Test Case ID</x:v>
      </x:c>
      <x:c r="B10" s="172" t="str">
        <x:v>Test Case Description</x:v>
      </x:c>
      <x:c r="C10" s="172" t="str">
        <x:v>Test Case Procedure</x:v>
      </x:c>
      <x:c r="D10" s="172" t="str">
        <x:v>Expected Results</x:v>
      </x:c>
      <x:c r="E10" s="172" t="str">
        <x:v>Preconditions</x:v>
      </x:c>
      <x:c r="F10" s="172" t="str">
        <x:v>Round 1</x:v>
      </x:c>
      <x:c r="G10" s="172" t="str">
        <x:v>Test date</x:v>
      </x:c>
      <x:c r="H10" s="172" t="str">
        <x:v>Tester</x:v>
      </x:c>
      <x:c r="I10" s="172" t="str">
        <x:v>Round 2</x:v>
      </x:c>
      <x:c r="J10" s="172" t="str">
        <x:v>Test date</x:v>
      </x:c>
      <x:c r="K10" s="172" t="str">
        <x:v>Tester</x:v>
      </x:c>
      <x:c r="L10" s="172" t="str">
        <x:v>Round 3</x:v>
      </x:c>
      <x:c r="M10" s="172" t="str">
        <x:v>Test date</x:v>
      </x:c>
      <x:c r="N10" s="172" t="str">
        <x:v>Tester</x:v>
      </x:c>
      <x:c r="O10" s="172" t="str">
        <x:v>Note / defect</x:v>
      </x:c>
      <x:c r="P10" s="173" t="str">
        <x:v>Actual result</x:v>
      </x:c>
      <x:c r="Q10" s="174" t="str">
        <x:v>Requirement</x:v>
      </x:c>
      <x:c r="R10" s="173" t="str">
        <x:v>Evidence</x:v>
      </x:c>
      <x:c r="S10" s="173" t="str">
        <x:v>Test data</x:v>
      </x:c>
      <x:c r="T10" s="173" t="str">
        <x:v>Level / mode</x:v>
      </x:c>
      <x:c r="U10" s="173" t="str">
        <x:v>Feature group</x:v>
      </x:c>
    </x:row>
    <x:row r="11" s="32" customFormat="1" ht="15.75" customHeight="1">
      <x:c r="A11" s="86"/>
      <x:c r="B11" s="86"/>
      <x:c r="C11" s="87"/>
      <x:c r="D11" s="87"/>
      <x:c r="E11" s="87"/>
      <x:c r="F11" s="87"/>
      <x:c r="G11" s="87"/>
      <x:c r="H11" s="87"/>
      <x:c r="I11" s="87"/>
      <x:c r="J11" s="87"/>
      <x:c r="K11" s="87"/>
      <x:c r="L11" s="87"/>
      <x:c r="M11" s="87"/>
      <x:c r="N11" s="87"/>
      <x:c r="O11" s="88"/>
      <x:c r="Q11" s="41"/>
    </x:row>
    <x:row r="12" s="47" customFormat="1" ht="60" customHeight="1">
      <x:c r="A12" s="190" t="str">
        <x:v>ST-01-1</x:v>
      </x:c>
      <x:c r="B12" s="191" t="str">
        <x:v>Identity — Main flow</x:v>
      </x:c>
      <x:c r="C12" s="191" t="str">
        <x:v>Register with valid profile and documents; verify email; librarian approves; sign in.</x:v>
      </x:c>
      <x:c r="D12" s="192" t="str">
        <x:v>Account becomes Active only after the applicable verification and approval steps.</x:v>
      </x:c>
      <x:c r="E12" s="192" t="str">
        <x:v>Isolated staging data; Reader / Librarian accounts; active policy; record fixture IDs.</x:v>
      </x:c>
      <x:c r="F12" s="190" t="str">
        <x:v>Not Tested</x:v>
      </x:c>
      <x:c r="G12" s="190" t="str"/>
      <x:c r="H12" s="190" t="str"/>
      <x:c r="I12" s="190" t="str">
        <x:v>Not Tested</x:v>
      </x:c>
      <x:c r="J12" s="190" t="str"/>
      <x:c r="K12" s="190" t="str"/>
      <x:c r="L12" s="190" t="str">
        <x:v>Not Tested</x:v>
      </x:c>
      <x:c r="M12" s="190" t="str"/>
      <x:c r="N12" s="190" t="str"/>
      <x:c r="O12" s="190" t="str">
        <x:v>AuthController; RegistrationsController; MeController</x:v>
      </x:c>
      <x:c r="P12" s="194" t="str">
        <x:v>Not executed in this checkpoint.</x:v>
      </x:c>
      <x:c r="Q12" s="194" t="str">
        <x:v>UC01, UC02, UC03, UC18</x:v>
      </x:c>
      <x:c r="R12" s="194" t="str"/>
      <x:c r="S12" s="194" t="str">
        <x:v>Use dedicated synthetic records; include IDs and actual input values in execution evidence.</x:v>
      </x:c>
      <x:c r="T12" s="194" t="str">
        <x:v>Planned system test</x:v>
      </x:c>
      <x:c r="U12" s="194" t="str">
        <x:v>Identity</x:v>
      </x:c>
    </x:row>
    <x:row r="13" ht="60" customHeight="1">
      <x:c r="A13" s="190" t="str">
        <x:v>ST-01-2</x:v>
      </x:c>
      <x:c r="B13" s="190" t="str">
        <x:v>Identity — Validation / exception</x:v>
      </x:c>
      <x:c r="C13" s="190" t="str">
        <x:v>Submit mismatched confirmation or expired OTP.</x:v>
      </x:c>
      <x:c r="D13" s="195" t="str">
        <x:v>Reject invalid input; do not activate an account.</x:v>
      </x:c>
      <x:c r="E13" s="195" t="str">
        <x:v>Isolated staging data; Reader / Librarian accounts; active policy; record fixture IDs.</x:v>
      </x:c>
      <x:c r="F13" s="190" t="str">
        <x:v>Not Tested</x:v>
      </x:c>
      <x:c r="G13" s="190" t="str"/>
      <x:c r="H13" s="190" t="str"/>
      <x:c r="I13" s="190" t="str">
        <x:v>Not Tested</x:v>
      </x:c>
      <x:c r="J13" s="190" t="str"/>
      <x:c r="K13" s="190" t="str"/>
      <x:c r="L13" s="190" t="str">
        <x:v>Not Tested</x:v>
      </x:c>
      <x:c r="M13" s="190" t="str"/>
      <x:c r="N13" s="190" t="str"/>
      <x:c r="O13" s="190" t="str">
        <x:v>AuthController; RegistrationsController; MeController</x:v>
      </x:c>
      <x:c r="P13" s="194" t="str">
        <x:v>Not executed in this checkpoint.</x:v>
      </x:c>
      <x:c r="Q13" s="194" t="str">
        <x:v>UC01, UC02, UC03, UC18</x:v>
      </x:c>
      <x:c r="R13" s="194" t="str"/>
      <x:c r="S13" s="194" t="str">
        <x:v>Use dedicated synthetic records; include IDs and actual input values in execution evidence.</x:v>
      </x:c>
      <x:c r="T13" s="194" t="str">
        <x:v>Planned system test</x:v>
      </x:c>
      <x:c r="U13" s="194" t="str">
        <x:v>Identity</x:v>
      </x:c>
    </x:row>
    <x:row r="14" ht="60" customHeight="1">
      <x:c r="A14" s="190" t="str">
        <x:v>ST-02-1</x:v>
      </x:c>
      <x:c r="B14" s="190" t="str">
        <x:v>Catalog — Main flow</x:v>
      </x:c>
      <x:c r="C14" s="190" t="str">
        <x:v>Librarian creates a unique book and two copies with locations; reader searches and opens detail.</x:v>
      </x:c>
      <x:c r="D14" s="195" t="str">
        <x:v>Book is discoverable and counts, barcodes and locations agree with stored copies.</x:v>
      </x:c>
      <x:c r="E14" s="195" t="str">
        <x:v>Isolated staging data; Reader / Librarian accounts; active policy; record fixture IDs.</x:v>
      </x:c>
      <x:c r="F14" s="190" t="str">
        <x:v>Not Tested</x:v>
      </x:c>
      <x:c r="G14" s="190" t="str"/>
      <x:c r="H14" s="190" t="str"/>
      <x:c r="I14" s="190" t="str">
        <x:v>Not Tested</x:v>
      </x:c>
      <x:c r="J14" s="190" t="str"/>
      <x:c r="K14" s="190" t="str"/>
      <x:c r="L14" s="190" t="str">
        <x:v>Not Tested</x:v>
      </x:c>
      <x:c r="M14" s="190" t="str"/>
      <x:c r="N14" s="190" t="str"/>
      <x:c r="O14" s="190" t="str">
        <x:v>BooksController; BookCopiesController; CategoriesController</x:v>
      </x:c>
      <x:c r="P14" s="194" t="str">
        <x:v>Not executed in this checkpoint.</x:v>
      </x:c>
      <x:c r="Q14" s="194" t="str">
        <x:v>UC04, UC05, UC28, UC29</x:v>
      </x:c>
      <x:c r="R14" s="194" t="str"/>
      <x:c r="S14" s="194" t="str">
        <x:v>Use dedicated synthetic records; include IDs and actual input values in execution evidence.</x:v>
      </x:c>
      <x:c r="T14" s="194" t="str">
        <x:v>Planned system test</x:v>
      </x:c>
      <x:c r="U14" s="194" t="str">
        <x:v>Catalog</x:v>
      </x:c>
    </x:row>
    <x:row r="15" s="32" customFormat="1" ht="60" customHeight="1">
      <x:c r="A15" s="210" t="str">
        <x:v>ST-05-1</x:v>
      </x:c>
      <x:c r="B15" s="211" t="str">
        <x:v>Renewal — Main flow</x:v>
      </x:c>
      <x:c r="C15" s="212" t="str">
        <x:v>Reader requests renewal; librarian processes it within configured policy.</x:v>
      </x:c>
      <x:c r="D15" s="212" t="str">
        <x:v>Renewal follows configured limit/duration and records the final due date.</x:v>
      </x:c>
      <x:c r="E15" s="212" t="str">
        <x:v>Isolated staging data; Reader / Librarian accounts; active policy; record fixture IDs.</x:v>
      </x:c>
      <x:c r="F15" s="212" t="str">
        <x:v>Not Tested</x:v>
      </x:c>
      <x:c r="G15" s="212" t="str"/>
      <x:c r="H15" s="212" t="str"/>
      <x:c r="I15" s="212" t="str">
        <x:v>Not Tested</x:v>
      </x:c>
      <x:c r="J15" s="212" t="str"/>
      <x:c r="K15" s="212" t="str"/>
      <x:c r="L15" s="212" t="str">
        <x:v>Not Tested</x:v>
      </x:c>
      <x:c r="M15" s="212" t="str"/>
      <x:c r="N15" s="212" t="str"/>
      <x:c r="O15" s="213" t="str">
        <x:v>CirculationMeController; CirculationController</x:v>
      </x:c>
      <x:c r="P15" s="194" t="str">
        <x:v>Not executed in this checkpoint.</x:v>
      </x:c>
      <x:c r="Q15" s="214" t="str">
        <x:v>UC09, UC24</x:v>
      </x:c>
      <x:c r="R15" s="194" t="str"/>
      <x:c r="S15" s="194" t="str">
        <x:v>Use dedicated synthetic records; include IDs and actual input values in execution evidence.</x:v>
      </x:c>
      <x:c r="T15" s="194" t="str">
        <x:v>Planned system test</x:v>
      </x:c>
      <x:c r="U15" s="194" t="str">
        <x:v>Renewal</x:v>
      </x:c>
    </x:row>
    <x:row r="16" ht="60" customHeight="1">
      <x:c r="A16" s="190" t="str">
        <x:v>ST-05-2</x:v>
      </x:c>
      <x:c r="B16" s="190" t="str">
        <x:v>Renewal — Validation / exception</x:v>
      </x:c>
      <x:c r="C16" s="190" t="str">
        <x:v>Request renewal after limit, with overdue or a waiting reservation.</x:v>
      </x:c>
      <x:c r="D16" s="190" t="str">
        <x:v>Reject a request prohibited by the active policy without extending due date.</x:v>
      </x:c>
      <x:c r="E16" s="190" t="str">
        <x:v>Isolated staging data; Reader / Librarian accounts; active policy; record fixture IDs.</x:v>
      </x:c>
      <x:c r="F16" s="190" t="str">
        <x:v>Not Tested</x:v>
      </x:c>
      <x:c r="G16" s="190" t="str"/>
      <x:c r="H16" s="190" t="str"/>
      <x:c r="I16" s="190" t="str">
        <x:v>Not Tested</x:v>
      </x:c>
      <x:c r="J16" s="190" t="str"/>
      <x:c r="K16" s="190" t="str"/>
      <x:c r="L16" s="190" t="str">
        <x:v>Not Tested</x:v>
      </x:c>
      <x:c r="M16" s="190" t="str"/>
      <x:c r="N16" s="190" t="str"/>
      <x:c r="O16" s="190" t="str">
        <x:v>CirculationMeController; CirculationController</x:v>
      </x:c>
      <x:c r="P16" s="194" t="str">
        <x:v>Not executed in this checkpoint.</x:v>
      </x:c>
      <x:c r="Q16" s="194" t="str">
        <x:v>UC09, UC24</x:v>
      </x:c>
      <x:c r="R16" s="194" t="str"/>
      <x:c r="S16" s="194" t="str">
        <x:v>Use dedicated synthetic records; include IDs and actual input values in execution evidence.</x:v>
      </x:c>
      <x:c r="T16" s="194" t="str">
        <x:v>Planned system test</x:v>
      </x:c>
      <x:c r="U16" s="194" t="str">
        <x:v>Renewal</x:v>
      </x:c>
    </x:row>
    <x:row r="17" ht="60" customHeight="1">
      <x:c r="A17" s="190" t="str">
        <x:v>ST-06-1</x:v>
      </x:c>
      <x:c r="B17" s="190" t="str">
        <x:v>Reservation — Main flow</x:v>
      </x:c>
      <x:c r="C17" s="190" t="str">
        <x:v>Reserve unavailable title; return a copy; process ready reservation and pickup.</x:v>
      </x:c>
      <x:c r="D17" s="190" t="str">
        <x:v>Queue allocates the available copy once and records the correct terminal state.</x:v>
      </x:c>
      <x:c r="E17" s="190" t="str">
        <x:v>Isolated staging data; Reader / Librarian accounts; active policy; record fixture IDs.</x:v>
      </x:c>
      <x:c r="F17" s="190" t="str">
        <x:v>Not Tested</x:v>
      </x:c>
      <x:c r="G17" s="190" t="str"/>
      <x:c r="H17" s="190" t="str"/>
      <x:c r="I17" s="190" t="str">
        <x:v>Not Tested</x:v>
      </x:c>
      <x:c r="J17" s="190" t="str"/>
      <x:c r="K17" s="190" t="str"/>
      <x:c r="L17" s="190" t="str">
        <x:v>Not Tested</x:v>
      </x:c>
      <x:c r="M17" s="190" t="str"/>
      <x:c r="N17" s="190" t="str"/>
      <x:c r="O17" s="190" t="str">
        <x:v>CirculationMeController; CirculationController</x:v>
      </x:c>
      <x:c r="P17" s="194" t="str">
        <x:v>Not executed in this checkpoint.</x:v>
      </x:c>
      <x:c r="Q17" s="194" t="str">
        <x:v>UC10, UC25</x:v>
      </x:c>
      <x:c r="R17" s="194" t="str"/>
      <x:c r="S17" s="194" t="str">
        <x:v>Use dedicated synthetic records; include IDs and actual input values in execution evidence.</x:v>
      </x:c>
      <x:c r="T17" s="194" t="str">
        <x:v>Planned system test</x:v>
      </x:c>
      <x:c r="U17" s="194" t="str">
        <x:v>Reservation</x:v>
      </x:c>
    </x:row>
    <x:row r="18" ht="60" customHeight="1">
      <x:c r="A18" s="194" t="str">
        <x:v>ST-06-2</x:v>
      </x:c>
      <x:c r="B18" s="194" t="str">
        <x:v>Reservation — Validation / exception</x:v>
      </x:c>
      <x:c r="C18" s="194" t="str">
        <x:v>Submit duplicate reservation; expire ready hold.</x:v>
      </x:c>
      <x:c r="D18" s="194" t="str">
        <x:v>Reject duplicate; expiry releases or reallocates copy once.</x:v>
      </x:c>
      <x:c r="E18" s="194" t="str">
        <x:v>Isolated staging data; Reader / Librarian accounts; active policy; record fixture IDs.</x:v>
      </x:c>
      <x:c r="F18" s="194" t="str">
        <x:v>Not Tested</x:v>
      </x:c>
      <x:c r="G18" s="194" t="str"/>
      <x:c r="H18" s="194" t="str"/>
      <x:c r="I18" s="194" t="str">
        <x:v>Not Tested</x:v>
      </x:c>
      <x:c r="J18" s="194" t="str"/>
      <x:c r="K18" s="194" t="str"/>
      <x:c r="L18" s="194" t="str">
        <x:v>Not Tested</x:v>
      </x:c>
      <x:c r="M18" s="194" t="str"/>
      <x:c r="N18" s="194" t="str"/>
      <x:c r="O18" s="194" t="str">
        <x:v>CirculationMeController; CirculationController</x:v>
      </x:c>
      <x:c r="P18" s="194" t="str">
        <x:v>Not executed in this checkpoint.</x:v>
      </x:c>
      <x:c r="Q18" s="194" t="str">
        <x:v>UC10, UC25</x:v>
      </x:c>
      <x:c r="R18" s="194" t="str"/>
      <x:c r="S18" s="194" t="str">
        <x:v>Use dedicated synthetic records; include IDs and actual input values in execution evidence.</x:v>
      </x:c>
      <x:c r="T18" s="194" t="str">
        <x:v>Planned system test</x:v>
      </x:c>
      <x:c r="U18" s="194" t="str">
        <x:v>Reservation</x:v>
      </x:c>
    </x:row>
    <x:row r="19" ht="60" customHeight="1">
      <x:c r="A19" s="194" t="str">
        <x:v>ST-07-1</x:v>
      </x:c>
      <x:c r="B19" s="194" t="str">
        <x:v>Fine payment — Main flow</x:v>
      </x:c>
      <x:c r="C19" s="194" t="str">
        <x:v>Create PayOS checkout; receive valid signed success webhook; repeat webhook.</x:v>
      </x:c>
      <x:c r="D19" s="194" t="str">
        <x:v>Fine/payment become Paid once; duplicate does not double-settle. Real signature/provider remains to be tested.</x:v>
      </x:c>
      <x:c r="E19" s="194" t="str">
        <x:v>Isolated staging data; Reader / Librarian / PayOS accounts; active policy; record fixture IDs.</x:v>
      </x:c>
      <x:c r="F19" s="194" t="str">
        <x:v>Not Tested</x:v>
      </x:c>
      <x:c r="G19" s="194" t="str"/>
      <x:c r="H19" s="194" t="str"/>
      <x:c r="I19" s="194" t="str">
        <x:v>Not Tested</x:v>
      </x:c>
      <x:c r="J19" s="194" t="str"/>
      <x:c r="K19" s="194" t="str"/>
      <x:c r="L19" s="194" t="str">
        <x:v>Not Tested</x:v>
      </x:c>
      <x:c r="M19" s="194" t="str"/>
      <x:c r="N19" s="194" t="str"/>
      <x:c r="O19" s="194" t="str">
        <x:v>CirculationMeController; CirculationController; PayOSWebhookController</x:v>
      </x:c>
      <x:c r="P19" s="194" t="str">
        <x:v>Not executed in this checkpoint.</x:v>
      </x:c>
      <x:c r="Q19" s="194" t="str">
        <x:v>UC16, UC30</x:v>
      </x:c>
      <x:c r="R19" s="194" t="str"/>
      <x:c r="S19" s="194" t="str">
        <x:v>Use dedicated synthetic records; include IDs and actual input values in execution evidence.</x:v>
      </x:c>
      <x:c r="T19" s="194" t="str">
        <x:v>Planned system test</x:v>
      </x:c>
      <x:c r="U19" s="194" t="str">
        <x:v>Fine payment</x:v>
      </x:c>
    </x:row>
    <x:row r="20" ht="60" customHeight="1">
      <x:c r="A20" s="194" t="str">
        <x:v>ST-07-2</x:v>
      </x:c>
      <x:c r="B20" s="194" t="str">
        <x:v>Fine payment — Validation / exception</x:v>
      </x:c>
      <x:c r="C20" s="194" t="str">
        <x:v>Send tampered signature, wrong amount, expired/cancelled or out-of-order webhook.</x:v>
      </x:c>
      <x:c r="D20" s="194" t="str">
        <x:v>Invalid callback cannot settle an unrelated or invalid payment; reconcile according to implemented state guards.</x:v>
      </x:c>
      <x:c r="E20" s="194" t="str">
        <x:v>Isolated staging data; Reader / Librarian / PayOS accounts; active policy; record fixture IDs.</x:v>
      </x:c>
      <x:c r="F20" s="194" t="str">
        <x:v>Not Tested</x:v>
      </x:c>
      <x:c r="G20" s="194" t="str"/>
      <x:c r="H20" s="194" t="str"/>
      <x:c r="I20" s="194" t="str">
        <x:v>Not Tested</x:v>
      </x:c>
      <x:c r="J20" s="194" t="str"/>
      <x:c r="K20" s="194" t="str"/>
      <x:c r="L20" s="194" t="str">
        <x:v>Not Tested</x:v>
      </x:c>
      <x:c r="M20" s="194" t="str"/>
      <x:c r="N20" s="194" t="str"/>
      <x:c r="O20" s="194" t="str">
        <x:v>CirculationMeController; CirculationController; PayOSWebhookController</x:v>
      </x:c>
      <x:c r="P20" s="194" t="str">
        <x:v>Not executed in this checkpoint.</x:v>
      </x:c>
      <x:c r="Q20" s="194" t="str">
        <x:v>UC16, UC30</x:v>
      </x:c>
      <x:c r="R20" s="194" t="str"/>
      <x:c r="S20" s="194" t="str">
        <x:v>Use dedicated synthetic records; include IDs and actual input values in execution evidence.</x:v>
      </x:c>
      <x:c r="T20" s="194" t="str">
        <x:v>Planned system test</x:v>
      </x:c>
      <x:c r="U20" s="194" t="str">
        <x:v>Fine payment</x:v>
      </x:c>
    </x:row>
    <x:row r="21" ht="60" customHeight="1">
      <x:c r="A21" s="194" t="str">
        <x:v>ST-08-1</x:v>
      </x:c>
      <x:c r="B21" s="194" t="str">
        <x:v>Profiles and readers — Main flow</x:v>
      </x:c>
      <x:c r="C21" s="194" t="str">
        <x:v>Edit permitted profile fields; librarian views reader history.</x:v>
      </x:c>
      <x:c r="D21" s="194" t="str">
        <x:v>Changes persist; staff can view permitted reader history.</x:v>
      </x:c>
      <x:c r="E21" s="194" t="str">
        <x:v>Isolated staging data; Reader / Librarian accounts; active policy; record fixture IDs.</x:v>
      </x:c>
      <x:c r="F21" s="194" t="str">
        <x:v>Not Tested</x:v>
      </x:c>
      <x:c r="G21" s="194" t="str"/>
      <x:c r="H21" s="194" t="str"/>
      <x:c r="I21" s="194" t="str">
        <x:v>Not Tested</x:v>
      </x:c>
      <x:c r="J21" s="194" t="str"/>
      <x:c r="K21" s="194" t="str"/>
      <x:c r="L21" s="194" t="str">
        <x:v>Not Tested</x:v>
      </x:c>
      <x:c r="M21" s="194" t="str"/>
      <x:c r="N21" s="194" t="str"/>
      <x:c r="O21" s="194" t="str">
        <x:v>ProfileController; ReadersController; LibrarianUsersController</x:v>
      </x:c>
      <x:c r="P21" s="194" t="str">
        <x:v>Not executed in this checkpoint.</x:v>
      </x:c>
      <x:c r="Q21" s="194" t="str">
        <x:v>UC07, UC19, UC20</x:v>
      </x:c>
      <x:c r="R21" s="194" t="str"/>
      <x:c r="S21" s="194" t="str">
        <x:v>Use dedicated synthetic records; include IDs and actual input values in execution evidence.</x:v>
      </x:c>
      <x:c r="T21" s="194" t="str">
        <x:v>Planned system test</x:v>
      </x:c>
      <x:c r="U21" s="194" t="str">
        <x:v>Profiles and readers</x:v>
      </x:c>
    </x:row>
    <x:row r="22" ht="60" customHeight="1">
      <x:c r="A22" s="194" t="str">
        <x:v>ST-08-2</x:v>
      </x:c>
      <x:c r="B22" s="194" t="str">
        <x:v>Profiles and readers — Validation / exception</x:v>
      </x:c>
      <x:c r="C22" s="194" t="str">
        <x:v>Submit invalid contact fields or missing target ID.</x:v>
      </x:c>
      <x:c r="D22" s="194" t="str">
        <x:v>Return validation/not-found outcome; preserve existing profile.</x:v>
      </x:c>
      <x:c r="E22" s="194" t="str">
        <x:v>Isolated staging data; Reader / Librarian accounts; active policy; record fixture IDs.</x:v>
      </x:c>
      <x:c r="F22" s="194" t="str">
        <x:v>Not Tested</x:v>
      </x:c>
      <x:c r="G22" s="194" t="str"/>
      <x:c r="H22" s="194" t="str"/>
      <x:c r="I22" s="194" t="str">
        <x:v>Not Tested</x:v>
      </x:c>
      <x:c r="J22" s="194" t="str"/>
      <x:c r="K22" s="194" t="str"/>
      <x:c r="L22" s="194" t="str">
        <x:v>Not Tested</x:v>
      </x:c>
      <x:c r="M22" s="194" t="str"/>
      <x:c r="N22" s="194" t="str"/>
      <x:c r="O22" s="194" t="str">
        <x:v>ProfileController; ReadersController; LibrarianUsersController</x:v>
      </x:c>
      <x:c r="P22" s="194" t="str">
        <x:v>Not executed in this checkpoint.</x:v>
      </x:c>
      <x:c r="Q22" s="194" t="str">
        <x:v>UC07, UC19, UC20</x:v>
      </x:c>
      <x:c r="R22" s="194" t="str"/>
      <x:c r="S22" s="194" t="str">
        <x:v>Use dedicated synthetic records; include IDs and actual input values in execution evidence.</x:v>
      </x:c>
      <x:c r="T22" s="194" t="str">
        <x:v>Planned system test</x:v>
      </x:c>
      <x:c r="U22" s="194" t="str">
        <x:v>Profiles and readers</x:v>
      </x:c>
    </x:row>
    <x:row r="23" ht="60" customHeight="1">
      <x:c r="A23" s="194" t="str">
        <x:v>ST-09-1</x:v>
      </x:c>
      <x:c r="B23" s="194" t="str">
        <x:v>Reviews — Main flow</x:v>
      </x:c>
      <x:c r="C23" s="194" t="str">
        <x:v>Create rating and review, edit it, then delete it.</x:v>
      </x:c>
      <x:c r="D23" s="194" t="str">
        <x:v>Ownership and aggregate rating remain consistent; borrowed-book prerequisite in SRS needs reconciliation.</x:v>
      </x:c>
      <x:c r="E23" s="194" t="str">
        <x:v>Isolated staging data; Reader / Librarian accounts; active policy; record fixture IDs.</x:v>
      </x:c>
      <x:c r="F23" s="194" t="str">
        <x:v>Not Tested</x:v>
      </x:c>
      <x:c r="G23" s="194" t="str"/>
      <x:c r="H23" s="194" t="str"/>
      <x:c r="I23" s="194" t="str">
        <x:v>Not Tested</x:v>
      </x:c>
      <x:c r="J23" s="194" t="str"/>
      <x:c r="K23" s="194" t="str"/>
      <x:c r="L23" s="194" t="str">
        <x:v>Not Tested</x:v>
      </x:c>
      <x:c r="M23" s="194" t="str"/>
      <x:c r="N23" s="194" t="str"/>
      <x:c r="O23" s="194" t="str">
        <x:v>BookReviewsController</x:v>
      </x:c>
      <x:c r="P23" s="194" t="str">
        <x:v>Not executed in this checkpoint.</x:v>
      </x:c>
      <x:c r="Q23" s="194" t="str">
        <x:v>UC11, UC12</x:v>
      </x:c>
      <x:c r="R23" s="194" t="str"/>
      <x:c r="S23" s="194" t="str">
        <x:v>Use dedicated synthetic records; include IDs and actual input values in execution evidence.</x:v>
      </x:c>
      <x:c r="T23" s="194" t="str">
        <x:v>Planned system test</x:v>
      </x:c>
      <x:c r="U23" s="194" t="str">
        <x:v>Reviews</x:v>
      </x:c>
    </x:row>
    <x:row r="24" ht="60" customHeight="1">
      <x:c r="A24" s="194" t="str">
        <x:v>ST-10-1</x:v>
      </x:c>
      <x:c r="B24" s="194" t="str">
        <x:v>Support — Main flow</x:v>
      </x:c>
      <x:c r="C24" s="194" t="str">
        <x:v>Reader submits feedback/support; librarian replies; reader views history.</x:v>
      </x:c>
      <x:c r="D24" s="194" t="str">
        <x:v>Correct conversation and status are visible to the participants.</x:v>
      </x:c>
      <x:c r="E24" s="194" t="str">
        <x:v>Isolated staging data; Reader / Librarian accounts; active policy; record fixture IDs.</x:v>
      </x:c>
      <x:c r="F24" s="194" t="str">
        <x:v>Not Tested</x:v>
      </x:c>
      <x:c r="G24" s="194" t="str"/>
      <x:c r="H24" s="194" t="str"/>
      <x:c r="I24" s="194" t="str">
        <x:v>Not Tested</x:v>
      </x:c>
      <x:c r="J24" s="194" t="str"/>
      <x:c r="K24" s="194" t="str"/>
      <x:c r="L24" s="194" t="str">
        <x:v>Not Tested</x:v>
      </x:c>
      <x:c r="M24" s="194" t="str"/>
      <x:c r="N24" s="194" t="str"/>
      <x:c r="O24" s="194" t="str">
        <x:v>SupportController</x:v>
      </x:c>
      <x:c r="P24" s="194" t="str">
        <x:v>Not executed in this checkpoint.</x:v>
      </x:c>
      <x:c r="Q24" s="194" t="str">
        <x:v>UC13, UC14, UC15, UC27</x:v>
      </x:c>
      <x:c r="R24" s="194" t="str"/>
      <x:c r="S24" s="194" t="str">
        <x:v>Use dedicated synthetic records; include IDs and actual input values in execution evidence.</x:v>
      </x:c>
      <x:c r="T24" s="194" t="str">
        <x:v>Planned system test</x:v>
      </x:c>
      <x:c r="U24" s="194" t="str">
        <x:v>Support</x:v>
      </x:c>
    </x:row>
    <x:row r="25" ht="60" customHeight="1">
      <x:c r="A25" s="194" t="str">
        <x:v>ST-11-1</x:v>
      </x:c>
      <x:c r="B25" s="194" t="str">
        <x:v>News and notifications — Main flow</x:v>
      </x:c>
      <x:c r="C25" s="194" t="str">
        <x:v>Publish announcement; reader filters/searches news and opens personal notification.</x:v>
      </x:c>
      <x:c r="D25" s="194" t="str">
        <x:v>News reflects publication; personal notification goes to intended reader.</x:v>
      </x:c>
      <x:c r="E25" s="194" t="str">
        <x:v>Isolated staging data; Reader / Librarian accounts; active policy; record fixture IDs.</x:v>
      </x:c>
      <x:c r="F25" s="194" t="str">
        <x:v>Not Tested</x:v>
      </x:c>
      <x:c r="G25" s="194" t="str"/>
      <x:c r="H25" s="194" t="str"/>
      <x:c r="I25" s="194" t="str">
        <x:v>Not Tested</x:v>
      </x:c>
      <x:c r="J25" s="194" t="str"/>
      <x:c r="K25" s="194" t="str"/>
      <x:c r="L25" s="194" t="str">
        <x:v>Not Tested</x:v>
      </x:c>
      <x:c r="M25" s="194" t="str"/>
      <x:c r="N25" s="194" t="str"/>
      <x:c r="O25" s="194" t="str">
        <x:v>NewsController; NotificationsController</x:v>
      </x:c>
      <x:c r="P25" s="194" t="str">
        <x:v>Not executed in this checkpoint.</x:v>
      </x:c>
      <x:c r="Q25" s="194" t="str">
        <x:v>UC17, UC21, UC31</x:v>
      </x:c>
      <x:c r="R25" s="194" t="str"/>
      <x:c r="S25" s="194" t="str">
        <x:v>Use dedicated synthetic records; include IDs and actual input values in execution evidence.</x:v>
      </x:c>
      <x:c r="T25" s="194" t="str">
        <x:v>Planned system test</x:v>
      </x:c>
      <x:c r="U25" s="194" t="str">
        <x:v>News and notifications</x:v>
      </x:c>
    </x:row>
    <x:row r="26" ht="60" customHeight="1">
      <x:c r="A26" s="194" t="str">
        <x:v>ST-11-2</x:v>
      </x:c>
      <x:c r="B26" s="194" t="str">
        <x:v>News and notifications — Validation / exception</x:v>
      </x:c>
      <x:c r="C26" s="194" t="str">
        <x:v>Submit empty news title or request a missing notification.</x:v>
      </x:c>
      <x:c r="D26" s="194" t="str">
        <x:v>Validate content or return not found without unintended changes.</x:v>
      </x:c>
      <x:c r="E26" s="194" t="str">
        <x:v>Isolated staging data; Reader / Librarian accounts; active policy; record fixture IDs.</x:v>
      </x:c>
      <x:c r="F26" s="194" t="str">
        <x:v>Not Tested</x:v>
      </x:c>
      <x:c r="G26" s="194" t="str"/>
      <x:c r="H26" s="194" t="str"/>
      <x:c r="I26" s="194" t="str">
        <x:v>Not Tested</x:v>
      </x:c>
      <x:c r="J26" s="194" t="str"/>
      <x:c r="K26" s="194" t="str"/>
      <x:c r="L26" s="194" t="str">
        <x:v>Not Tested</x:v>
      </x:c>
      <x:c r="M26" s="194" t="str"/>
      <x:c r="N26" s="194" t="str"/>
      <x:c r="O26" s="194" t="str">
        <x:v>NewsController; NotificationsController</x:v>
      </x:c>
      <x:c r="P26" s="194" t="str">
        <x:v>Not executed in this checkpoint.</x:v>
      </x:c>
      <x:c r="Q26" s="194" t="str">
        <x:v>UC17, UC21, UC31</x:v>
      </x:c>
      <x:c r="R26" s="194" t="str"/>
      <x:c r="S26" s="194" t="str">
        <x:v>Use dedicated synthetic records; include IDs and actual input values in execution evidence.</x:v>
      </x:c>
      <x:c r="T26" s="194" t="str">
        <x:v>Planned system test</x:v>
      </x:c>
      <x:c r="U26" s="194" t="str">
        <x:v>News and notifications</x:v>
      </x:c>
    </x:row>
    <x:row r="27" ht="60" customHeight="1">
      <x:c r="A27" s="194" t="str">
        <x:v>ST-12-1</x:v>
      </x:c>
      <x:c r="B27" s="194" t="str">
        <x:v>Users and permissions — Main flow</x:v>
      </x:c>
      <x:c r="C27" s="194" t="str">
        <x:v>Admin creates librarian account and views assigned roles.</x:v>
      </x:c>
      <x:c r="D27" s="194" t="str">
        <x:v>Account and role are created consistently without exposing credentials.</x:v>
      </x:c>
      <x:c r="E27" s="194" t="str">
        <x:v>Isolated staging data; Admin accounts; active policy; record fixture IDs.</x:v>
      </x:c>
      <x:c r="F27" s="194" t="str">
        <x:v>Not Tested</x:v>
      </x:c>
      <x:c r="G27" s="194" t="str"/>
      <x:c r="H27" s="194" t="str"/>
      <x:c r="I27" s="194" t="str">
        <x:v>Not Tested</x:v>
      </x:c>
      <x:c r="J27" s="194" t="str"/>
      <x:c r="K27" s="194" t="str"/>
      <x:c r="L27" s="194" t="str">
        <x:v>Not Tested</x:v>
      </x:c>
      <x:c r="M27" s="194" t="str"/>
      <x:c r="N27" s="194" t="str"/>
      <x:c r="O27" s="194" t="str">
        <x:v>AdminUsersController</x:v>
      </x:c>
      <x:c r="P27" s="194" t="str">
        <x:v>Not executed in this checkpoint.</x:v>
      </x:c>
      <x:c r="Q27" s="194" t="str">
        <x:v>UC33, UC34</x:v>
      </x:c>
      <x:c r="R27" s="194" t="str"/>
      <x:c r="S27" s="194" t="str">
        <x:v>Use dedicated synthetic records; include IDs and actual input values in execution evidence.</x:v>
      </x:c>
      <x:c r="T27" s="194" t="str">
        <x:v>Planned system test</x:v>
      </x:c>
      <x:c r="U27" s="194" t="str">
        <x:v>Users and permissions</x:v>
      </x:c>
    </x:row>
    <x:row r="28" ht="60" customHeight="1">
      <x:c r="A28" s="194" t="str">
        <x:v>ST-12-2</x:v>
      </x:c>
      <x:c r="B28" s="194" t="str">
        <x:v>Users and permissions — Validation / exception</x:v>
      </x:c>
      <x:c r="C28" s="194" t="str">
        <x:v>Create duplicate email or invalid role.</x:v>
      </x:c>
      <x:c r="D28" s="194" t="str">
        <x:v>Reject invalid/duplicate user without partial account creation.</x:v>
      </x:c>
      <x:c r="E28" s="194" t="str">
        <x:v>Isolated staging data; Admin accounts; active policy; record fixture IDs.</x:v>
      </x:c>
      <x:c r="F28" s="194" t="str">
        <x:v>Not Tested</x:v>
      </x:c>
      <x:c r="G28" s="194" t="str"/>
      <x:c r="H28" s="194" t="str"/>
      <x:c r="I28" s="194" t="str">
        <x:v>Not Tested</x:v>
      </x:c>
      <x:c r="J28" s="194" t="str"/>
      <x:c r="K28" s="194" t="str"/>
      <x:c r="L28" s="194" t="str">
        <x:v>Not Tested</x:v>
      </x:c>
      <x:c r="M28" s="194" t="str"/>
      <x:c r="N28" s="194" t="str"/>
      <x:c r="O28" s="194" t="str">
        <x:v>AdminUsersController</x:v>
      </x:c>
      <x:c r="P28" s="194" t="str">
        <x:v>Not executed in this checkpoint.</x:v>
      </x:c>
      <x:c r="Q28" s="194" t="str">
        <x:v>UC33, UC34</x:v>
      </x:c>
      <x:c r="R28" s="194" t="str"/>
      <x:c r="S28" s="194" t="str">
        <x:v>Use dedicated synthetic records; include IDs and actual input values in execution evidence.</x:v>
      </x:c>
      <x:c r="T28" s="194" t="str">
        <x:v>Planned system test</x:v>
      </x:c>
      <x:c r="U28" s="194" t="str">
        <x:v>Users and permissions</x:v>
      </x:c>
    </x:row>
    <x:row r="29" ht="60" customHeight="1">
      <x:c r="A29" s="194" t="str">
        <x:v>ST-13-1</x:v>
      </x:c>
      <x:c r="B29" s="194" t="str">
        <x:v>Policies — Main flow</x:v>
      </x:c>
      <x:c r="C29" s="194" t="str">
        <x:v>Admin changes a borrowing policy; reader views published regulations.</x:v>
      </x:c>
      <x:c r="D29" s="194" t="str">
        <x:v>Valid policy becomes effective in subsequent circulation decisions.</x:v>
      </x:c>
      <x:c r="E29" s="194" t="str">
        <x:v>Isolated staging data; Admin / Reader accounts; active policy; record fixture IDs.</x:v>
      </x:c>
      <x:c r="F29" s="194" t="str">
        <x:v>Not Tested</x:v>
      </x:c>
      <x:c r="G29" s="194" t="str"/>
      <x:c r="H29" s="194" t="str"/>
      <x:c r="I29" s="194" t="str">
        <x:v>Not Tested</x:v>
      </x:c>
      <x:c r="J29" s="194" t="str"/>
      <x:c r="K29" s="194" t="str"/>
      <x:c r="L29" s="194" t="str">
        <x:v>Not Tested</x:v>
      </x:c>
      <x:c r="M29" s="194" t="str"/>
      <x:c r="N29" s="194" t="str"/>
      <x:c r="O29" s="194" t="str">
        <x:v>PolicyRulesController; RegulationsController</x:v>
      </x:c>
      <x:c r="P29" s="194" t="str">
        <x:v>Not executed in this checkpoint.</x:v>
      </x:c>
      <x:c r="Q29" s="194" t="str">
        <x:v>UC35</x:v>
      </x:c>
      <x:c r="R29" s="194" t="str"/>
      <x:c r="S29" s="194" t="str">
        <x:v>Use dedicated synthetic records; include IDs and actual input values in execution evidence.</x:v>
      </x:c>
      <x:c r="T29" s="194" t="str">
        <x:v>Planned system test</x:v>
      </x:c>
      <x:c r="U29" s="194" t="str">
        <x:v>Policies</x:v>
      </x:c>
    </x:row>
    <x:row r="30" ht="60" customHeight="1">
      <x:c r="A30" s="194" t="str">
        <x:v>ST-13-2</x:v>
      </x:c>
      <x:c r="B30" s="194" t="str">
        <x:v>Policies — Validation / exception</x:v>
      </x:c>
      <x:c r="C30" s="194" t="str">
        <x:v>Submit negative fee, invalid duration or conflicting policy values.</x:v>
      </x:c>
      <x:c r="D30" s="194" t="str">
        <x:v>Reject invalid policy parameters and keep last valid settings.</x:v>
      </x:c>
      <x:c r="E30" s="194" t="str">
        <x:v>Isolated staging data; Admin / Reader accounts; active policy; record fixture IDs.</x:v>
      </x:c>
      <x:c r="F30" s="194" t="str">
        <x:v>Not Tested</x:v>
      </x:c>
      <x:c r="G30" s="194" t="str"/>
      <x:c r="H30" s="194" t="str"/>
      <x:c r="I30" s="194" t="str">
        <x:v>Not Tested</x:v>
      </x:c>
      <x:c r="J30" s="194" t="str"/>
      <x:c r="K30" s="194" t="str"/>
      <x:c r="L30" s="194" t="str">
        <x:v>Not Tested</x:v>
      </x:c>
      <x:c r="M30" s="194" t="str"/>
      <x:c r="N30" s="194" t="str"/>
      <x:c r="O30" s="194" t="str">
        <x:v>PolicyRulesController; RegulationsController</x:v>
      </x:c>
      <x:c r="P30" s="194" t="str">
        <x:v>Not executed in this checkpoint.</x:v>
      </x:c>
      <x:c r="Q30" s="194" t="str">
        <x:v>UC35</x:v>
      </x:c>
      <x:c r="R30" s="194" t="str"/>
      <x:c r="S30" s="194" t="str">
        <x:v>Use dedicated synthetic records; include IDs and actual input values in execution evidence.</x:v>
      </x:c>
      <x:c r="T30" s="194" t="str">
        <x:v>Planned system test</x:v>
      </x:c>
      <x:c r="U30" s="194" t="str">
        <x:v>Policies</x:v>
      </x:c>
    </x:row>
    <x:row r="31" ht="60" customHeight="1">
      <x:c r="A31" s="194" t="str">
        <x:v>ST-14-1</x:v>
      </x:c>
      <x:c r="B31" s="194" t="str">
        <x:v>AI configuration — Main flow</x:v>
      </x:c>
      <x:c r="C31" s="194" t="str">
        <x:v>Admin configures provider and selects supported model.</x:v>
      </x:c>
      <x:c r="D31" s="194" t="str">
        <x:v>Settings persist; credentials remain masked and protected.</x:v>
      </x:c>
      <x:c r="E31" s="194" t="str">
        <x:v>Isolated staging data; Admin accounts; active policy; record fixture IDs.</x:v>
      </x:c>
      <x:c r="F31" s="194" t="str">
        <x:v>Not Tested</x:v>
      </x:c>
      <x:c r="G31" s="194" t="str"/>
      <x:c r="H31" s="194" t="str"/>
      <x:c r="I31" s="194" t="str">
        <x:v>Not Tested</x:v>
      </x:c>
      <x:c r="J31" s="194" t="str"/>
      <x:c r="K31" s="194" t="str"/>
      <x:c r="L31" s="194" t="str">
        <x:v>Not Tested</x:v>
      </x:c>
      <x:c r="M31" s="194" t="str"/>
      <x:c r="N31" s="194" t="str"/>
      <x:c r="O31" s="194" t="str">
        <x:v>AiSettingsController</x:v>
      </x:c>
      <x:c r="P31" s="194" t="str">
        <x:v>Not executed in this checkpoint.</x:v>
      </x:c>
      <x:c r="Q31" s="194" t="str">
        <x:v>UC36</x:v>
      </x:c>
      <x:c r="R31" s="194" t="str"/>
      <x:c r="S31" s="194" t="str">
        <x:v>Use dedicated synthetic records; include IDs and actual input values in execution evidence.</x:v>
      </x:c>
      <x:c r="T31" s="194" t="str">
        <x:v>Planned system test</x:v>
      </x:c>
      <x:c r="U31" s="194" t="str">
        <x:v>AI configuration</x:v>
      </x:c>
    </x:row>
    <x:row r="32" ht="60" customHeight="1">
      <x:c r="A32" s="194" t="str">
        <x:v>ST-14-2</x:v>
      </x:c>
      <x:c r="B32" s="194" t="str">
        <x:v>AI configuration — Validation / exception</x:v>
      </x:c>
      <x:c r="C32" s="194" t="str">
        <x:v>Use invalid endpoint/model or unavailable credential.</x:v>
      </x:c>
      <x:c r="D32" s="194" t="str">
        <x:v>Report configuration error without leaking secrets.</x:v>
      </x:c>
      <x:c r="E32" s="194" t="str">
        <x:v>Isolated staging data; Admin accounts; active policy; record fixture IDs.</x:v>
      </x:c>
      <x:c r="F32" s="194" t="str">
        <x:v>Not Tested</x:v>
      </x:c>
      <x:c r="G32" s="194" t="str"/>
      <x:c r="H32" s="194" t="str"/>
      <x:c r="I32" s="194" t="str">
        <x:v>Not Tested</x:v>
      </x:c>
      <x:c r="J32" s="194" t="str"/>
      <x:c r="K32" s="194" t="str"/>
      <x:c r="L32" s="194" t="str">
        <x:v>Not Tested</x:v>
      </x:c>
      <x:c r="M32" s="194" t="str"/>
      <x:c r="N32" s="194" t="str"/>
      <x:c r="O32" s="194" t="str">
        <x:v>AiSettingsController</x:v>
      </x:c>
      <x:c r="P32" s="194" t="str">
        <x:v>Not executed in this checkpoint.</x:v>
      </x:c>
      <x:c r="Q32" s="194" t="str">
        <x:v>UC36</x:v>
      </x:c>
      <x:c r="R32" s="194" t="str"/>
      <x:c r="S32" s="194" t="str">
        <x:v>Use dedicated synthetic records; include IDs and actual input values in execution evidence.</x:v>
      </x:c>
      <x:c r="T32" s="194" t="str">
        <x:v>Planned system test</x:v>
      </x:c>
      <x:c r="U32" s="194" t="str">
        <x:v>AI configuration</x:v>
      </x:c>
    </x:row>
    <x:row r="33" ht="60" customHeight="1">
      <x:c r="A33" s="194" t="str">
        <x:v>ST-15-1</x:v>
      </x:c>
      <x:c r="B33" s="194" t="str">
        <x:v>AI search and recommendations — Main flow</x:v>
      </x:c>
      <x:c r="C33" s="194" t="str">
        <x:v>Search a natural-language query with known relevant catalog entries; request recommendations.</x:v>
      </x:c>
      <x:c r="D33" s="194" t="str">
        <x:v>Return relevant source-linked books/reasons; relevance tests with mocks do not prove provider quality.</x:v>
      </x:c>
      <x:c r="E33" s="194" t="str">
        <x:v>Isolated staging data; Reader / Librarian / AI accounts; active policy; record fixture IDs.</x:v>
      </x:c>
      <x:c r="F33" s="194" t="str">
        <x:v>Not Tested</x:v>
      </x:c>
      <x:c r="G33" s="194" t="str"/>
      <x:c r="H33" s="194" t="str"/>
      <x:c r="I33" s="194" t="str">
        <x:v>Not Tested</x:v>
      </x:c>
      <x:c r="J33" s="194" t="str"/>
      <x:c r="K33" s="194" t="str"/>
      <x:c r="L33" s="194" t="str">
        <x:v>Not Tested</x:v>
      </x:c>
      <x:c r="M33" s="194" t="str"/>
      <x:c r="N33" s="194" t="str"/>
      <x:c r="O33" s="194" t="str">
        <x:v>RagController; AiSettingsController; DashboardController</x:v>
      </x:c>
      <x:c r="P33" s="194" t="str">
        <x:v>Not executed in this checkpoint.</x:v>
      </x:c>
      <x:c r="Q33" s="194" t="str">
        <x:v>UC06, UC32, UC38, UC39, UC40</x:v>
      </x:c>
      <x:c r="R33" s="194" t="str"/>
      <x:c r="S33" s="194" t="str">
        <x:v>Use dedicated synthetic records; include IDs and actual input values in execution evidence.</x:v>
      </x:c>
      <x:c r="T33" s="194" t="str">
        <x:v>Planned system test</x:v>
      </x:c>
      <x:c r="U33" s="194" t="str">
        <x:v>AI search and recommendations</x:v>
      </x:c>
    </x:row>
    <x:row r="34" ht="60" customHeight="1">
      <x:c r="A34" s="194" t="str">
        <x:v>ST-15-2</x:v>
      </x:c>
      <x:c r="B34" s="194" t="str">
        <x:v>AI search and recommendations — Validation / exception</x:v>
      </x:c>
      <x:c r="C34" s="194" t="str">
        <x:v>Search unsupported topic or simulate provider timeout.</x:v>
      </x:c>
      <x:c r="D34" s="194" t="str">
        <x:v>No invented catalog books; safe fallback/error is returned.</x:v>
      </x:c>
      <x:c r="E34" s="194" t="str">
        <x:v>Isolated staging data; Reader / Librarian / AI accounts; active policy; record fixture IDs.</x:v>
      </x:c>
      <x:c r="F34" s="194" t="str">
        <x:v>Not Tested</x:v>
      </x:c>
      <x:c r="G34" s="194" t="str"/>
      <x:c r="H34" s="194" t="str"/>
      <x:c r="I34" s="194" t="str">
        <x:v>Not Tested</x:v>
      </x:c>
      <x:c r="J34" s="194" t="str"/>
      <x:c r="K34" s="194" t="str"/>
      <x:c r="L34" s="194" t="str">
        <x:v>Not Tested</x:v>
      </x:c>
      <x:c r="M34" s="194" t="str"/>
      <x:c r="N34" s="194" t="str"/>
      <x:c r="O34" s="194" t="str">
        <x:v>RagController; AiSettingsController; DashboardController</x:v>
      </x:c>
      <x:c r="P34" s="194" t="str">
        <x:v>Not executed in this checkpoint.</x:v>
      </x:c>
      <x:c r="Q34" s="194" t="str">
        <x:v>UC06, UC32, UC38, UC39, UC40</x:v>
      </x:c>
      <x:c r="R34" s="194" t="str"/>
      <x:c r="S34" s="194" t="str">
        <x:v>Use dedicated synthetic records; include IDs and actual input values in execution evidence.</x:v>
      </x:c>
      <x:c r="T34" s="194" t="str">
        <x:v>Planned system test</x:v>
      </x:c>
      <x:c r="U34" s="194" t="str">
        <x:v>AI search and recommendations</x:v>
      </x:c>
    </x:row>
    <x:row r="35" ht="60" customHeight="1">
      <x:c r="A35" s="194" t="str">
        <x:v>ST-16-1</x:v>
      </x:c>
      <x:c r="B35" s="194" t="str">
        <x:v>Reports and statistics — Main flow</x:v>
      </x:c>
      <x:c r="C35" s="194" t="str">
        <x:v>Assign report, generate/export it, review and approve.</x:v>
      </x:c>
      <x:c r="D35" s="194" t="str">
        <x:v>Correct period/data and review status; exported totals match source.</x:v>
      </x:c>
      <x:c r="E35" s="194" t="str">
        <x:v>Isolated staging data; Admin / Librarian accounts; active policy; record fixture IDs.</x:v>
      </x:c>
      <x:c r="F35" s="194" t="str">
        <x:v>Not Tested</x:v>
      </x:c>
      <x:c r="G35" s="194" t="str"/>
      <x:c r="H35" s="194" t="str"/>
      <x:c r="I35" s="194" t="str">
        <x:v>Not Tested</x:v>
      </x:c>
      <x:c r="J35" s="194" t="str"/>
      <x:c r="K35" s="194" t="str"/>
      <x:c r="L35" s="194" t="str">
        <x:v>Not Tested</x:v>
      </x:c>
      <x:c r="M35" s="194" t="str"/>
      <x:c r="N35" s="194" t="str"/>
      <x:c r="O35" s="194" t="str">
        <x:v>AdminReportsController; LibrarianReportsController; DashboardController</x:v>
      </x:c>
      <x:c r="P35" s="194" t="str">
        <x:v>Not executed in this checkpoint.</x:v>
      </x:c>
      <x:c r="Q35" s="194" t="str">
        <x:v>UC37</x:v>
      </x:c>
      <x:c r="R35" s="194" t="str"/>
      <x:c r="S35" s="194" t="str">
        <x:v>Use dedicated synthetic records; include IDs and actual input values in execution evidence.</x:v>
      </x:c>
      <x:c r="T35" s="194" t="str">
        <x:v>Planned system test</x:v>
      </x:c>
      <x:c r="U35" s="194" t="str">
        <x:v>Reports and statistics</x:v>
      </x:c>
    </x:row>
    <x:row r="36" ht="60" customHeight="1">
      <x:c r="A36" s="194" t="str">
        <x:v>ST-16-2</x:v>
      </x:c>
      <x:c r="B36" s="194" t="str">
        <x:v>Reports and statistics — Validation / exception</x:v>
      </x:c>
      <x:c r="C36" s="194" t="str">
        <x:v>Use invalid date range or malformed report import.</x:v>
      </x:c>
      <x:c r="D36" s="194" t="str">
        <x:v>Reject invalid request without publishing corrupt report.</x:v>
      </x:c>
      <x:c r="E36" s="194" t="str">
        <x:v>Isolated staging data; Admin / Librarian accounts; active policy; record fixture IDs.</x:v>
      </x:c>
      <x:c r="F36" s="194" t="str">
        <x:v>Not Tested</x:v>
      </x:c>
      <x:c r="G36" s="194" t="str"/>
      <x:c r="H36" s="194" t="str"/>
      <x:c r="I36" s="194" t="str">
        <x:v>Not Tested</x:v>
      </x:c>
      <x:c r="J36" s="194" t="str"/>
      <x:c r="K36" s="194" t="str"/>
      <x:c r="L36" s="194" t="str">
        <x:v>Not Tested</x:v>
      </x:c>
      <x:c r="M36" s="194" t="str"/>
      <x:c r="N36" s="194" t="str"/>
      <x:c r="O36" s="194" t="str">
        <x:v>AdminReportsController; LibrarianReportsController; DashboardController</x:v>
      </x:c>
      <x:c r="P36" s="194" t="str">
        <x:v>Not executed in this checkpoint.</x:v>
      </x:c>
      <x:c r="Q36" s="194" t="str">
        <x:v>UC37</x:v>
      </x:c>
      <x:c r="R36" s="194" t="str"/>
      <x:c r="S36" s="194" t="str">
        <x:v>Use dedicated synthetic records; include IDs and actual input values in execution evidence.</x:v>
      </x:c>
      <x:c r="T36" s="194" t="str">
        <x:v>Planned system test</x:v>
      </x:c>
      <x:c r="U36" s="194" t="str">
        <x:v>Reports and statistics</x:v>
      </x:c>
    </x:row>
    <x:row r="37" ht="60" customHeight="1">
      <x:c r="A37" s="194" t="str">
        <x:v>E2E-01</x:v>
      </x:c>
      <x:c r="B37" s="194" t="str">
        <x:v>Identity — Registration and approval</x:v>
      </x:c>
      <x:c r="C37" s="194" t="str">
        <x:v>Submit profile, verify applicable email/documents, review, approve/reject/more-info, resubmit as a new request.</x:v>
      </x:c>
      <x:c r="D37" s="194" t="str">
        <x:v>All actor handoffs, UI confirmations and persisted end states agree; capture browser and API evidence.</x:v>
      </x:c>
      <x:c r="E37" s="194" t="str">
        <x:v>Dedicated browser accounts; isolated API/DB; sandbox or explicitly labelled mocks.</x:v>
      </x:c>
      <x:c r="F37" s="194" t="str">
        <x:v>Not Tested</x:v>
      </x:c>
      <x:c r="G37" s="194" t="str"/>
      <x:c r="H37" s="194" t="str"/>
      <x:c r="I37" s="194" t="str">
        <x:v>Not Tested</x:v>
      </x:c>
      <x:c r="J37" s="194" t="str"/>
      <x:c r="K37" s="194" t="str"/>
      <x:c r="L37" s="194" t="str">
        <x:v>Not Tested</x:v>
      </x:c>
      <x:c r="M37" s="194" t="str"/>
      <x:c r="N37" s="194" t="str"/>
      <x:c r="O37" s="194" t="str">
        <x:v>Reader → System → Librarian</x:v>
      </x:c>
      <x:c r="P37" s="194" t="str">
        <x:v>Browser E2E not executed.</x:v>
      </x:c>
      <x:c r="Q37" s="194" t="str">
        <x:v>WF-01</x:v>
      </x:c>
      <x:c r="R37" s="194" t="str"/>
      <x:c r="S37" s="194" t="str">
        <x:v>Record actual fixture IDs before execution.</x:v>
      </x:c>
      <x:c r="T37" s="194" t="str">
        <x:v>Planned browser E2E</x:v>
      </x:c>
      <x:c r="U37" s="194" t="str">
        <x:v>Identity</x:v>
      </x:c>
    </x:row>
    <x:row r="38" ht="60" customHeight="1">
      <x:c r="A38" s="194" t="str">
        <x:v>E2E-02</x:v>
      </x:c>
      <x:c r="B38" s="194" t="str">
        <x:v>Borrow — Borrow and handover</x:v>
      </x:c>
      <x:c r="C38" s="194" t="str">
        <x:v>Select book/slot, submit Pending, approve, verify reader and hand over, record Borrowed.</x:v>
      </x:c>
      <x:c r="D38" s="194" t="str">
        <x:v>All actor handoffs, UI confirmations and persisted end states agree; capture browser and API evidence.</x:v>
      </x:c>
      <x:c r="E38" s="194" t="str">
        <x:v>Dedicated browser accounts; isolated API/DB; sandbox or explicitly labelled mocks.</x:v>
      </x:c>
      <x:c r="F38" s="194" t="str">
        <x:v>Not Tested</x:v>
      </x:c>
      <x:c r="G38" s="194" t="str"/>
      <x:c r="H38" s="194" t="str"/>
      <x:c r="I38" s="194" t="str">
        <x:v>Not Tested</x:v>
      </x:c>
      <x:c r="J38" s="194" t="str"/>
      <x:c r="K38" s="194" t="str"/>
      <x:c r="L38" s="194" t="str">
        <x:v>Not Tested</x:v>
      </x:c>
      <x:c r="M38" s="194" t="str"/>
      <x:c r="N38" s="194" t="str"/>
      <x:c r="O38" s="194" t="str">
        <x:v>Reader → Librarian</x:v>
      </x:c>
      <x:c r="P38" s="194" t="str">
        <x:v>Browser E2E not executed.</x:v>
      </x:c>
      <x:c r="Q38" s="194" t="str">
        <x:v>WF-02</x:v>
      </x:c>
      <x:c r="R38" s="194" t="str"/>
      <x:c r="S38" s="194" t="str">
        <x:v>Record actual fixture IDs before execution.</x:v>
      </x:c>
      <x:c r="T38" s="194" t="str">
        <x:v>Planned browser E2E</x:v>
      </x:c>
      <x:c r="U38" s="194" t="str">
        <x:v>Borrow</x:v>
      </x:c>
    </x:row>
    <x:row r="39" ht="60" customHeight="1">
      <x:c r="A39" s="194" t="str">
        <x:v>E2E-03</x:v>
      </x:c>
      <x:c r="B39" s="194" t="str">
        <x:v>Return and incidents — Return and incident handling</x:v>
      </x:c>
      <x:c r="C39" s="194" t="str">
        <x:v>Return, inspect, calculate overdue or open lost/damaged incident, assess/settle compensation, update copy.</x:v>
      </x:c>
      <x:c r="D39" s="194" t="str">
        <x:v>All actor handoffs, UI confirmations and persisted end states agree; capture browser and API evidence.</x:v>
      </x:c>
      <x:c r="E39" s="194" t="str">
        <x:v>Dedicated browser accounts; isolated API/DB; sandbox or explicitly labelled mocks.</x:v>
      </x:c>
      <x:c r="F39" s="194" t="str">
        <x:v>Not Tested</x:v>
      </x:c>
      <x:c r="G39" s="194" t="str"/>
      <x:c r="H39" s="194" t="str"/>
      <x:c r="I39" s="194" t="str">
        <x:v>Not Tested</x:v>
      </x:c>
      <x:c r="J39" s="194" t="str"/>
      <x:c r="K39" s="194" t="str"/>
      <x:c r="L39" s="194" t="str">
        <x:v>Not Tested</x:v>
      </x:c>
      <x:c r="M39" s="194" t="str"/>
      <x:c r="N39" s="194" t="str"/>
      <x:c r="O39" s="194" t="str">
        <x:v>Reader → Librarian</x:v>
      </x:c>
      <x:c r="P39" s="194" t="str">
        <x:v>Browser E2E not executed.</x:v>
      </x:c>
      <x:c r="Q39" s="194" t="str">
        <x:v>WF-03</x:v>
      </x:c>
      <x:c r="R39" s="194" t="str"/>
      <x:c r="S39" s="194" t="str">
        <x:v>Record actual fixture IDs before execution.</x:v>
      </x:c>
      <x:c r="T39" s="194" t="str">
        <x:v>Planned browser E2E</x:v>
      </x:c>
      <x:c r="U39" s="194" t="str">
        <x:v>Return and incidents</x:v>
      </x:c>
    </x:row>
    <x:row r="40" ht="60" customHeight="1">
      <x:c r="A40" s="194" t="str">
        <x:v>E2E-04</x:v>
      </x:c>
      <x:c r="B40" s="194" t="str">
        <x:v>Fine payment — Fine payment</x:v>
      </x:c>
      <x:c r="C40" s="194" t="str">
        <x:v>View fine, choose online or cash, reconcile webhook, verify final fine/payment state.</x:v>
      </x:c>
      <x:c r="D40" s="194" t="str">
        <x:v>All actor handoffs, UI confirmations and persisted end states agree; capture browser and API evidence.</x:v>
      </x:c>
      <x:c r="E40" s="194" t="str">
        <x:v>Dedicated browser accounts; isolated API/DB; sandbox or explicitly labelled mocks.</x:v>
      </x:c>
      <x:c r="F40" s="194" t="str">
        <x:v>Not Tested</x:v>
      </x:c>
      <x:c r="G40" s="194" t="str"/>
      <x:c r="H40" s="194" t="str"/>
      <x:c r="I40" s="194" t="str">
        <x:v>Not Tested</x:v>
      </x:c>
      <x:c r="J40" s="194" t="str"/>
      <x:c r="K40" s="194" t="str"/>
      <x:c r="L40" s="194" t="str">
        <x:v>Not Tested</x:v>
      </x:c>
      <x:c r="M40" s="194" t="str"/>
      <x:c r="N40" s="194" t="str"/>
      <x:c r="O40" s="194" t="str">
        <x:v>Reader → PayOS → System / Librarian</x:v>
      </x:c>
      <x:c r="P40" s="194" t="str">
        <x:v>Browser E2E not executed.</x:v>
      </x:c>
      <x:c r="Q40" s="194" t="str">
        <x:v>WF-04</x:v>
      </x:c>
      <x:c r="R40" s="194" t="str"/>
      <x:c r="S40" s="194" t="str">
        <x:v>Record actual fixture IDs before execution.</x:v>
      </x:c>
      <x:c r="T40" s="194" t="str">
        <x:v>Planned browser E2E</x:v>
      </x:c>
      <x:c r="U40" s="194" t="str">
        <x:v>Fine payment</x:v>
      </x:c>
    </x:row>
    <x:row r="41" ht="60" customHeight="1">
      <x:c r="A41" s="194" t="str">
        <x:v>E2E-05</x:v>
      </x:c>
      <x:c r="B41" s="194" t="str">
        <x:v>Catalog — Catalog and copy management</x:v>
      </x:c>
      <x:c r="C41" s="194" t="str">
        <x:v>Create/update book, cover/location, intake copies, verify discovery and availability.</x:v>
      </x:c>
      <x:c r="D41" s="194" t="str">
        <x:v>All actor handoffs, UI confirmations and persisted end states agree; capture browser and API evidence.</x:v>
      </x:c>
      <x:c r="E41" s="194" t="str">
        <x:v>Dedicated browser accounts; isolated API/DB; sandbox or explicitly labelled mocks.</x:v>
      </x:c>
      <x:c r="F41" s="194" t="str">
        <x:v>Not Tested</x:v>
      </x:c>
      <x:c r="G41" s="194" t="str"/>
      <x:c r="H41" s="194" t="str"/>
      <x:c r="I41" s="194" t="str">
        <x:v>Not Tested</x:v>
      </x:c>
      <x:c r="J41" s="194" t="str"/>
      <x:c r="K41" s="194" t="str"/>
      <x:c r="L41" s="194" t="str">
        <x:v>Not Tested</x:v>
      </x:c>
      <x:c r="M41" s="194" t="str"/>
      <x:c r="N41" s="194" t="str"/>
      <x:c r="O41" s="194" t="str">
        <x:v>Librarian → Reader</x:v>
      </x:c>
      <x:c r="P41" s="194" t="str">
        <x:v>Browser E2E not executed.</x:v>
      </x:c>
      <x:c r="Q41" s="194" t="str">
        <x:v>WF-05</x:v>
      </x:c>
      <x:c r="R41" s="194" t="str"/>
      <x:c r="S41" s="194" t="str">
        <x:v>Record actual fixture IDs before execution.</x:v>
      </x:c>
      <x:c r="T41" s="194" t="str">
        <x:v>Planned browser E2E</x:v>
      </x:c>
      <x:c r="U41" s="194" t="str">
        <x:v>Catalog</x:v>
      </x:c>
    </x:row>
    <x:row r="42" ht="60" customHeight="1">
      <x:c r="A42" s="194" t="str">
        <x:v>E2E-06</x:v>
      </x:c>
      <x:c r="B42" s="194" t="str">
        <x:v>Reservation — Reservation and renewal</x:v>
      </x:c>
      <x:c r="C42" s="194" t="str">
        <x:v>Queue unavailable title, allocate/expire hold; request and process renewal subject to policy.</x:v>
      </x:c>
      <x:c r="D42" s="194" t="str">
        <x:v>All actor handoffs, UI confirmations and persisted end states agree; capture browser and API evidence.</x:v>
      </x:c>
      <x:c r="E42" s="194" t="str">
        <x:v>Dedicated browser accounts; isolated API/DB; sandbox or explicitly labelled mocks.</x:v>
      </x:c>
      <x:c r="F42" s="194" t="str">
        <x:v>Not Tested</x:v>
      </x:c>
      <x:c r="G42" s="194" t="str"/>
      <x:c r="H42" s="194" t="str"/>
      <x:c r="I42" s="194" t="str">
        <x:v>Not Tested</x:v>
      </x:c>
      <x:c r="J42" s="194" t="str"/>
      <x:c r="K42" s="194" t="str"/>
      <x:c r="L42" s="194" t="str">
        <x:v>Not Tested</x:v>
      </x:c>
      <x:c r="M42" s="194" t="str"/>
      <x:c r="N42" s="194" t="str"/>
      <x:c r="O42" s="194" t="str">
        <x:v>Reader → Librarian</x:v>
      </x:c>
      <x:c r="P42" s="194" t="str">
        <x:v>Browser E2E not executed.</x:v>
      </x:c>
      <x:c r="Q42" s="194" t="str">
        <x:v>WF-06</x:v>
      </x:c>
      <x:c r="R42" s="194" t="str"/>
      <x:c r="S42" s="194" t="str">
        <x:v>Record actual fixture IDs before execution.</x:v>
      </x:c>
      <x:c r="T42" s="194" t="str">
        <x:v>Planned browser E2E</x:v>
      </x:c>
      <x:c r="U42" s="194" t="str">
        <x:v>Reservation</x:v>
      </x:c>
    </x:row>
    <x:row r="43" ht="60" customHeight="1">
      <x:c r="A43" s="194" t="str">
        <x:v>E2E-07</x:v>
      </x:c>
      <x:c r="B43" s="194" t="str">
        <x:v>Support — Support and announcements</x:v>
      </x:c>
      <x:c r="C43" s="194" t="str">
        <x:v>Submit support, reply, verify participant history; publish announcement and verify reader view.</x:v>
      </x:c>
      <x:c r="D43" s="194" t="str">
        <x:v>All actor handoffs, UI confirmations and persisted end states agree; capture browser and API evidence.</x:v>
      </x:c>
      <x:c r="E43" s="194" t="str">
        <x:v>Dedicated browser accounts; isolated API/DB; sandbox or explicitly labelled mocks.</x:v>
      </x:c>
      <x:c r="F43" s="194" t="str">
        <x:v>Not Tested</x:v>
      </x:c>
      <x:c r="G43" s="194" t="str"/>
      <x:c r="H43" s="194" t="str"/>
      <x:c r="I43" s="194" t="str">
        <x:v>Not Tested</x:v>
      </x:c>
      <x:c r="J43" s="194" t="str"/>
      <x:c r="K43" s="194" t="str"/>
      <x:c r="L43" s="194" t="str">
        <x:v>Not Tested</x:v>
      </x:c>
      <x:c r="M43" s="194" t="str"/>
      <x:c r="N43" s="194" t="str"/>
      <x:c r="O43" s="194" t="str">
        <x:v>Reader ↔ Librarian</x:v>
      </x:c>
      <x:c r="P43" s="194" t="str">
        <x:v>Browser E2E not executed.</x:v>
      </x:c>
      <x:c r="Q43" s="194" t="str">
        <x:v>WF-07</x:v>
      </x:c>
      <x:c r="R43" s="194" t="str"/>
      <x:c r="S43" s="194" t="str">
        <x:v>Record actual fixture IDs before execution.</x:v>
      </x:c>
      <x:c r="T43" s="194" t="str">
        <x:v>Planned browser E2E</x:v>
      </x:c>
      <x:c r="U43" s="194" t="str">
        <x:v>Support</x:v>
      </x:c>
    </x:row>
    <x:row r="44" ht="60" customHeight="1">
      <x:c r="A44" s="194" t="str">
        <x:v>E2E-08</x:v>
      </x:c>
      <x:c r="B44" s="194" t="str">
        <x:v>Reports and statistics — Administration and reporting</x:v>
      </x:c>
      <x:c r="C44" s="194" t="str">
        <x:v>Configure policy/users, assign/generate/review/export report and validate totals.</x:v>
      </x:c>
      <x:c r="D44" s="194" t="str">
        <x:v>All actor handoffs, UI confirmations and persisted end states agree; capture browser and API evidence.</x:v>
      </x:c>
      <x:c r="E44" s="194" t="str">
        <x:v>Dedicated browser accounts; isolated API/DB; sandbox or explicitly labelled mocks.</x:v>
      </x:c>
      <x:c r="F44" s="194" t="str">
        <x:v>Not Tested</x:v>
      </x:c>
      <x:c r="G44" s="194" t="str"/>
      <x:c r="H44" s="194" t="str"/>
      <x:c r="I44" s="194" t="str">
        <x:v>Not Tested</x:v>
      </x:c>
      <x:c r="J44" s="194" t="str"/>
      <x:c r="K44" s="194" t="str"/>
      <x:c r="L44" s="194" t="str">
        <x:v>Not Tested</x:v>
      </x:c>
      <x:c r="M44" s="194" t="str"/>
      <x:c r="N44" s="194" t="str"/>
      <x:c r="O44" s="194" t="str">
        <x:v>Admin → Librarian</x:v>
      </x:c>
      <x:c r="P44" s="194" t="str">
        <x:v>Browser E2E not executed.</x:v>
      </x:c>
      <x:c r="Q44" s="194" t="str">
        <x:v>WF-08</x:v>
      </x:c>
      <x:c r="R44" s="194" t="str"/>
      <x:c r="S44" s="194" t="str">
        <x:v>Record actual fixture IDs before execution.</x:v>
      </x:c>
      <x:c r="T44" s="194" t="str">
        <x:v>Planned browser E2E</x:v>
      </x:c>
      <x:c r="U44" s="194" t="str">
        <x:v>Reports and statistics</x:v>
      </x:c>
    </x:row>
    <x:row r="45" ht="60" customHeight="1">
      <x:c r="A45" s="194" t="str">
        <x:v>E2E-09</x:v>
      </x:c>
      <x:c r="B45" s="194" t="str">
        <x:v>AI search and recommendations — AI discovery</x:v>
      </x:c>
      <x:c r="C45" s="194" t="str">
        <x:v>Submit natural-language query, retrieve catalog sources, return relevance and graceful fallback.</x:v>
      </x:c>
      <x:c r="D45" s="194" t="str">
        <x:v>All actor handoffs, UI confirmations and persisted end states agree; capture browser and API evidence.</x:v>
      </x:c>
      <x:c r="E45" s="194" t="str">
        <x:v>Dedicated browser accounts; isolated API/DB; sandbox or explicitly labelled mocks.</x:v>
      </x:c>
      <x:c r="F45" s="194" t="str">
        <x:v>Not Tested</x:v>
      </x:c>
      <x:c r="G45" s="194" t="str"/>
      <x:c r="H45" s="194" t="str"/>
      <x:c r="I45" s="194" t="str">
        <x:v>Not Tested</x:v>
      </x:c>
      <x:c r="J45" s="194" t="str"/>
      <x:c r="K45" s="194" t="str"/>
      <x:c r="L45" s="194" t="str">
        <x:v>Not Tested</x:v>
      </x:c>
      <x:c r="M45" s="194" t="str"/>
      <x:c r="N45" s="194" t="str"/>
      <x:c r="O45" s="194" t="str">
        <x:v>Reader → AI → Catalog</x:v>
      </x:c>
      <x:c r="P45" s="194" t="str">
        <x:v>Browser E2E not executed.</x:v>
      </x:c>
      <x:c r="Q45" s="194" t="str">
        <x:v>WF-09</x:v>
      </x:c>
      <x:c r="R45" s="194" t="str"/>
      <x:c r="S45" s="194" t="str">
        <x:v>Record actual fixture IDs before execution.</x:v>
      </x:c>
      <x:c r="T45" s="194" t="str">
        <x:v>Planned browser E2E</x:v>
      </x:c>
      <x:c r="U45" s="194" t="str">
        <x:v>AI search and recommendations</x:v>
      </x:c>
    </x:row>
    <x:row r="46" ht="60" customHeight="1">
      <x:c r="A46" s="194" t="str">
        <x:v>SM-01</x:v>
      </x:c>
      <x:c r="B46" s="194" t="str">
        <x:v>Borrow — Full entity lifecycle and invalid transitions</x:v>
      </x:c>
      <x:c r="C46" s="194" t="str">
        <x:v>Exercise Pending → Approved → Borrowed → Returned; reject/cancel/expire allowed requests; attempt handover after Returned.</x:v>
      </x:c>
      <x:c r="D46" s="194" t="str">
        <x:v>Only permitted transitions change state; copy counts and dates remain consistent.</x:v>
      </x:c>
      <x:c r="E46" s="194" t="str">
        <x:v>Fresh isolated fixtures for each branch; active policy; staff and reader roles.</x:v>
      </x:c>
      <x:c r="F46" s="194" t="str">
        <x:v>Not Tested</x:v>
      </x:c>
      <x:c r="G46" s="194" t="str"/>
      <x:c r="H46" s="194" t="str"/>
      <x:c r="I46" s="194" t="str">
        <x:v>Not Tested</x:v>
      </x:c>
      <x:c r="J46" s="194" t="str"/>
      <x:c r="K46" s="194" t="str"/>
      <x:c r="L46" s="194" t="str">
        <x:v>Not Tested</x:v>
      </x:c>
      <x:c r="M46" s="194" t="str"/>
      <x:c r="N46" s="194" t="str"/>
      <x:c r="O46" s="194" t="str">
        <x:v>Do not infer full lifecycle coverage from one successful path.</x:v>
      </x:c>
      <x:c r="P46" s="194" t="str">
        <x:v>Full lifecycle matrix not yet executed; see linked IT cases for partial coverage.</x:v>
      </x:c>
      <x:c r="Q46" s="194" t="str">
        <x:v>UC08, UC22, UC23, UC24</x:v>
      </x:c>
      <x:c r="R46" s="194" t="str"/>
      <x:c r="S46" s="194" t="str">
        <x:v>Record entity IDs and state before/after every transition.</x:v>
      </x:c>
      <x:c r="T46" s="194" t="str">
        <x:v>Planned state-transition test</x:v>
      </x:c>
      <x:c r="U46" s="194" t="str">
        <x:v>Borrow</x:v>
      </x:c>
    </x:row>
    <x:row r="47" ht="60" customHeight="1">
      <x:c r="A47" s="194" t="str">
        <x:v>SM-02</x:v>
      </x:c>
      <x:c r="B47" s="194" t="str">
        <x:v>Reservation — Full entity lifecycle and invalid transitions</x:v>
      </x:c>
      <x:c r="C47" s="194" t="str">
        <x:v>Create pending; allocate ready hold; fulfill/cancel/expire; attempt fulfillment after cancellation.</x:v>
      </x:c>
      <x:c r="D47" s="194" t="str">
        <x:v>Allocate one copy; reject invalid terminal-state transition and avoid duplicate allocation.</x:v>
      </x:c>
      <x:c r="E47" s="194" t="str">
        <x:v>Fresh isolated fixtures for each branch; active policy; staff and reader roles.</x:v>
      </x:c>
      <x:c r="F47" s="194" t="str">
        <x:v>Not Tested</x:v>
      </x:c>
      <x:c r="G47" s="194" t="str"/>
      <x:c r="H47" s="194" t="str"/>
      <x:c r="I47" s="194" t="str">
        <x:v>Not Tested</x:v>
      </x:c>
      <x:c r="J47" s="194" t="str"/>
      <x:c r="K47" s="194" t="str"/>
      <x:c r="L47" s="194" t="str">
        <x:v>Not Tested</x:v>
      </x:c>
      <x:c r="M47" s="194" t="str"/>
      <x:c r="N47" s="194" t="str"/>
      <x:c r="O47" s="194" t="str">
        <x:v>Do not infer full lifecycle coverage from one successful path.</x:v>
      </x:c>
      <x:c r="P47" s="194" t="str">
        <x:v>Full lifecycle matrix not yet executed; see linked IT cases for partial coverage.</x:v>
      </x:c>
      <x:c r="Q47" s="194" t="str">
        <x:v>UC10, UC25</x:v>
      </x:c>
      <x:c r="R47" s="194" t="str"/>
      <x:c r="S47" s="194" t="str">
        <x:v>Record entity IDs and state before/after every transition.</x:v>
      </x:c>
      <x:c r="T47" s="194" t="str">
        <x:v>Planned state-transition test</x:v>
      </x:c>
      <x:c r="U47" s="194" t="str">
        <x:v>Reservation</x:v>
      </x:c>
    </x:row>
    <x:row r="48" ht="60" customHeight="1">
      <x:c r="A48" s="194" t="str">
        <x:v>SM-03</x:v>
      </x:c>
      <x:c r="B48" s="194" t="str">
        <x:v>Fine payment — Full entity lifecycle and invalid transitions</x:v>
      </x:c>
      <x:c r="C48" s="194" t="str">
        <x:v>Exercise pending checkout, payment, cash cancellation, expiry and already-settled callback branches; repeat terminal webhook.</x:v>
      </x:c>
      <x:c r="D48" s="194" t="str">
        <x:v>Idempotent settlement; preserve separate fine and payment-attempt states; reconcile per code guards.</x:v>
      </x:c>
      <x:c r="E48" s="194" t="str">
        <x:v>Fresh isolated fixtures for each branch; active policy; staff and reader roles.</x:v>
      </x:c>
      <x:c r="F48" s="194" t="str">
        <x:v>Not Tested</x:v>
      </x:c>
      <x:c r="G48" s="194" t="str"/>
      <x:c r="H48" s="194" t="str"/>
      <x:c r="I48" s="194" t="str">
        <x:v>Not Tested</x:v>
      </x:c>
      <x:c r="J48" s="194" t="str"/>
      <x:c r="K48" s="194" t="str"/>
      <x:c r="L48" s="194" t="str">
        <x:v>Not Tested</x:v>
      </x:c>
      <x:c r="M48" s="194" t="str"/>
      <x:c r="N48" s="194" t="str"/>
      <x:c r="O48" s="194" t="str">
        <x:v>Do not infer full lifecycle coverage from one successful path.</x:v>
      </x:c>
      <x:c r="P48" s="194" t="str">
        <x:v>Full lifecycle matrix not yet executed; see linked IT cases for partial coverage.</x:v>
      </x:c>
      <x:c r="Q48" s="194" t="str">
        <x:v>UC16, UC30</x:v>
      </x:c>
      <x:c r="R48" s="194" t="str"/>
      <x:c r="S48" s="194" t="str">
        <x:v>Record entity IDs and state before/after every transition.</x:v>
      </x:c>
      <x:c r="T48" s="194" t="str">
        <x:v>Planned state-transition test</x:v>
      </x:c>
      <x:c r="U48" s="194" t="str">
        <x:v>Fine payment</x:v>
      </x:c>
    </x:row>
    <x:row r="49" ht="60" customHeight="1">
      <x:c r="A49" s="194" t="str">
        <x:v>SM-05</x:v>
      </x:c>
      <x:c r="B49" s="194" t="str">
        <x:v>Return and incidents — Full entity lifecycle and invalid transitions</x:v>
      </x:c>
      <x:c r="C49" s="194" t="str">
        <x:v>Report incident; confirm compensation or reject; settle/waive linked fines; attempt invalid repeated review.</x:v>
      </x:c>
      <x:c r="D49" s="194" t="str">
        <x:v>Incident resolves only under implemented settlement guards; no duplicate compensation fine.</x:v>
      </x:c>
      <x:c r="E49" s="194" t="str">
        <x:v>Fresh isolated fixtures for each branch; active policy; staff and reader roles.</x:v>
      </x:c>
      <x:c r="F49" s="194" t="str">
        <x:v>Not Tested</x:v>
      </x:c>
      <x:c r="G49" s="194" t="str"/>
      <x:c r="H49" s="194" t="str"/>
      <x:c r="I49" s="194" t="str">
        <x:v>Not Tested</x:v>
      </x:c>
      <x:c r="J49" s="194" t="str"/>
      <x:c r="K49" s="194" t="str"/>
      <x:c r="L49" s="194" t="str">
        <x:v>Not Tested</x:v>
      </x:c>
      <x:c r="M49" s="194" t="str"/>
      <x:c r="N49" s="194" t="str"/>
      <x:c r="O49" s="194" t="str">
        <x:v>Do not infer full lifecycle coverage from one successful path.</x:v>
      </x:c>
      <x:c r="P49" s="194" t="str">
        <x:v>Full lifecycle matrix not yet executed; see linked IT cases for partial coverage.</x:v>
      </x:c>
      <x:c r="Q49" s="194" t="str">
        <x:v>UC26, UC30</x:v>
      </x:c>
      <x:c r="R49" s="194" t="str"/>
      <x:c r="S49" s="194" t="str">
        <x:v>Record entity IDs and state before/after every transition.</x:v>
      </x:c>
      <x:c r="T49" s="194" t="str">
        <x:v>Planned state-transition test</x:v>
      </x:c>
      <x:c r="U49" s="194" t="str">
        <x:v>Return and incidents</x:v>
      </x:c>
    </x:row>
  </x:sheetData>
  <x:mergeCells>
    <x:mergeCell ref="B2:E2"/>
    <x:mergeCell ref="B3:E3"/>
    <x:mergeCell ref="B4:E4"/>
  </x:mergeCells>
  <x:conditionalFormatting sqref="F12:F49">
    <x:cfRule type="containsText" dxfId="9" priority="1" operator="containsText" text="Passed"/>
    <x:cfRule type="containsText" dxfId="10" priority="2" operator="containsText" text="Failed"/>
    <x:cfRule type="containsText" dxfId="11" priority="3" operator="containsText" text="Not Tested"/>
  </x:conditionalFormatting>
  <x:conditionalFormatting sqref="I12:I49">
    <x:cfRule type="containsText" dxfId="12" priority="4" operator="containsText" text="Passed"/>
    <x:cfRule type="containsText" dxfId="13" priority="5" operator="containsText" text="Failed"/>
    <x:cfRule type="containsText" dxfId="14" priority="6" operator="containsText" text="Not Tested"/>
  </x:conditionalFormatting>
  <x:conditionalFormatting sqref="L12:L49">
    <x:cfRule type="containsText" dxfId="15" priority="7" operator="containsText" text="Passed"/>
    <x:cfRule type="containsText" dxfId="16" priority="8" operator="containsText" text="Failed"/>
    <x:cfRule type="containsText" dxfId="17" priority="9" operator="containsText" text="Not Tested"/>
  </x:conditionalFormatting>
  <x:dataValidations count="13">
    <x:dataValidation allowBlank="1" showErrorMessage="1" sqref="F10 I10 L10"/>
    <x:dataValidation type="list" allowBlank="1" showErrorMessage="1" sqref="G2:G3">
      <x:formula1>$R$2:$R$5</x:formula1>
      <x:formula2>0</x:formula2>
    </x:dataValidation>
    <x:dataValidation type="list" allowBlank="1" showErrorMessage="1" sqref="G9">
      <x:formula1>$R$2:$R$5</x:formula1>
      <x:formula2>0</x:formula2>
    </x:dataValidation>
    <x:dataValidation type="list" allowBlank="1" showErrorMessage="1" sqref="G18:G145">
      <x:formula1>$R$2:$R$5</x:formula1>
      <x:formula2>0</x:formula2>
    </x:dataValidation>
    <x:dataValidation type="list" allowBlank="1" showErrorMessage="1" sqref="J2:J3">
      <x:formula1>$R$2:$R$5</x:formula1>
      <x:formula2>0</x:formula2>
    </x:dataValidation>
    <x:dataValidation type="list" allowBlank="1" showErrorMessage="1" sqref="J9">
      <x:formula1>$R$2:$R$5</x:formula1>
      <x:formula2>0</x:formula2>
    </x:dataValidation>
    <x:dataValidation type="list" allowBlank="1" showErrorMessage="1" sqref="J18:J145">
      <x:formula1>$R$2:$R$5</x:formula1>
      <x:formula2>0</x:formula2>
    </x:dataValidation>
    <x:dataValidation type="list" allowBlank="1" showErrorMessage="1" sqref="M2:M3">
      <x:formula1>$R$2:$R$5</x:formula1>
      <x:formula2>0</x:formula2>
    </x:dataValidation>
    <x:dataValidation type="list" allowBlank="1" showErrorMessage="1" sqref="M9">
      <x:formula1>$R$2:$R$5</x:formula1>
      <x:formula2>0</x:formula2>
    </x:dataValidation>
    <x:dataValidation type="list" allowBlank="1" showErrorMessage="1" sqref="M18:M145">
      <x:formula1>$R$2:$R$5</x:formula1>
      <x:formula2>0</x:formula2>
    </x:dataValidation>
    <x:dataValidation type="list" sqref="F12:F49">
      <x:formula1>"Passed,Failed,Not Tested,N/A"</x:formula1>
    </x:dataValidation>
    <x:dataValidation type="list" sqref="I12:I49">
      <x:formula1>"Passed,Failed,Not Tested,N/A"</x:formula1>
    </x:dataValidation>
    <x:dataValidation type="list" sqref="L12:L49">
      <x:formula1>"Passed,Failed,Not Tested,N/A"</x:formula1>
    </x:dataValidation>
  </x:dataValidations>
  <x:pageMargins left="0.7" right="0.7" top="0.75" bottom="0.75" header="0.3" footer="0.3"/>
  <x:legacyDrawing xmlns:r="http://schemas.openxmlformats.org/officeDocument/2006/relationships" r:id="R5ae5ff46b071410a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65" hidden="0" customWidth="1"/>
    <x:col min="4" max="4" width="24" hidden="0" customWidth="1"/>
    <x:col min="5" max="5" width="42" hidden="0" customWidth="1"/>
    <x:col min="6" max="6" width="55" hidden="0" customWidth="1"/>
    <x:col min="7" max="7" width="30" hidden="0" customWidth="1"/>
    <x:col min="8" max="8" width="15" hidden="0" customWidth="1"/>
    <x:col min="9" max="9" width="55" hidden="0" customWidth="1"/>
  </x:cols>
  <x:sheetData>
    <x:row r="2">
      <x:c r="A2" s="242" t="str">
        <x:v>Requirement Traceability</x:v>
      </x:c>
    </x:row>
    <x:row r="4" ht="32" customHeight="1">
      <x:c r="A4" s="218" t="str">
        <x:v>Requirement</x:v>
      </x:c>
      <x:c r="B4" s="218" t="str">
        <x:v>Feature</x:v>
      </x:c>
      <x:c r="C4" s="218" t="str">
        <x:v>Requirement / acceptance intent</x:v>
      </x:c>
      <x:c r="D4" s="218" t="str">
        <x:v>Actors</x:v>
      </x:c>
      <x:c r="E4" s="218" t="str">
        <x:v>Implementation reference</x:v>
      </x:c>
      <x:c r="F4" s="218" t="str">
        <x:v>Case IDs</x:v>
      </x:c>
      <x:c r="G4" s="218" t="str">
        <x:v>Evidence</x:v>
      </x:c>
      <x:c r="H4" s="218" t="str">
        <x:v>Verdict</x:v>
      </x:c>
      <x:c r="I4" s="218" t="str">
        <x:v>Limitation</x:v>
      </x:c>
    </x:row>
    <x:row r="5" ht="120" customHeight="1">
      <x:c r="A5" s="223" t="str">
        <x:v>UC01</x:v>
      </x:c>
      <x:c r="B5" s="223" t="str">
        <x:v>MF-01</x:v>
      </x:c>
      <x:c r="C5" s="223" t="str">
        <x:v>Sign Up — Readers create a new account by entering their personal information. The system sends a verification code and activates the account only after the reader completes Verify Email.</x:v>
      </x:c>
      <x:c r="D5" s="223" t="str">
        <x:v>Reader</x:v>
      </x:c>
      <x:c r="E5" s="223" t="str">
        <x:v>AuthController; RegistrationsController; MeController</x:v>
      </x:c>
      <x:c r="F5" s="223" t="str">
        <x:v>ST-01-1, ST-01-2, ST-01-3, IT-017, SM-04</x:v>
      </x:c>
      <x:c r="G5" s="223" t="str">
        <x:v>evidence/integration.trx; evidence/planned-api/planned-api.trx</x:v>
      </x:c>
      <x:c r="H5" s="223" t="str">
        <x:v>Not Tested</x:v>
      </x:c>
      <x:c r="I5" s="223" t="str">
        <x:v>Requirement-level sign-off incomplete; linked case results can Pass without proving the entire UC.</x:v>
      </x:c>
    </x:row>
    <x:row r="6" ht="120" customHeight="1">
      <x:c r="A6" s="223" t="str">
        <x:v>UC02</x:v>
      </x:c>
      <x:c r="B6" s="223" t="str">
        <x:v>MF-01</x:v>
      </x:c>
      <x:c r="C6" s="223" t="str">
        <x:v>Sign In — Readers sign in to the system using their registered email address and password to access reader functions.</x:v>
      </x:c>
      <x:c r="D6" s="223" t="str">
        <x:v>Reader</x:v>
      </x:c>
      <x:c r="E6" s="223" t="str">
        <x:v>AuthController; RegistrationsController; MeController</x:v>
      </x:c>
      <x:c r="F6" s="223" t="str">
        <x:v>ST-01-1, ST-01-2, ST-01-3</x:v>
      </x:c>
      <x:c r="G6" s="223" t="str">
        <x:v>evidence/planned-api/planned-api.trx</x:v>
      </x:c>
      <x:c r="H6" s="223" t="str">
        <x:v>Not Tested</x:v>
      </x:c>
      <x:c r="I6" s="223" t="str">
        <x:v>Requirement-level sign-off incomplete; linked case results can Pass without proving the entire UC.</x:v>
      </x:c>
    </x:row>
    <x:row r="7" ht="120" customHeight="1">
      <x:c r="A7" s="223" t="str">
        <x:v>UC03</x:v>
      </x:c>
      <x:c r="B7" s="223" t="str">
        <x:v>MF-01</x:v>
      </x:c>
      <x:c r="C7" s="223" t="str">
        <x:v>Forgot Password — When readers forget their password, they enter their registered email address to receive a password-reset link, then complete Reset Password to create a new password.</x:v>
      </x:c>
      <x:c r="D7" s="223" t="str">
        <x:v>Reader</x:v>
      </x:c>
      <x:c r="E7" s="223" t="str">
        <x:v>AuthController; RegistrationsController; MeController</x:v>
      </x:c>
      <x:c r="F7" s="223" t="str">
        <x:v>ST-01-1, ST-01-2, ST-01-3</x:v>
      </x:c>
      <x:c r="G7" s="223" t="str">
        <x:v>evidence/planned-api/planned-api.trx</x:v>
      </x:c>
      <x:c r="H7" s="223" t="str">
        <x:v>Not Tested</x:v>
      </x:c>
      <x:c r="I7" s="223" t="str">
        <x:v>Requirement-level sign-off incomplete; linked case results can Pass without proving the entire UC.</x:v>
      </x:c>
    </x:row>
    <x:row r="8" ht="120" customHeight="1">
      <x:c r="A8" s="223" t="str">
        <x:v>UC04</x:v>
      </x:c>
      <x:c r="B8" s="223" t="str">
        <x:v>MF-02</x:v>
      </x:c>
      <x:c r="C8" s="223" t="str">
        <x:v>Search &amp; Discover Books — Readers search for books by keyword, title, author, or category (Search Books), and can open a book from the results list to view its details (View Book Details).</x:v>
      </x:c>
      <x:c r="D8" s="223" t="str">
        <x:v>Reader</x:v>
      </x:c>
      <x:c r="E8" s="223" t="str">
        <x:v>BooksController; BookCopiesController; CategoriesController</x:v>
      </x:c>
      <x:c r="F8" s="223" t="str">
        <x:v>ST-02-1, ST-02-2, ST-02-3</x:v>
      </x:c>
      <x:c r="G8" s="223" t="str">
        <x:v>evidence/planned-api/planned-api.trx</x:v>
      </x:c>
      <x:c r="H8" s="223" t="str">
        <x:v>Not Tested</x:v>
      </x:c>
      <x:c r="I8" s="223" t="str">
        <x:v>Requirement-level sign-off incomplete; linked case results can Pass without proving the entire UC.</x:v>
      </x:c>
    </x:row>
    <x:row r="9" ht="120" customHeight="1">
      <x:c r="A9" s="223" t="str">
        <x:v>UC05</x:v>
      </x:c>
      <x:c r="B9" s="223" t="str">
        <x:v>MF-02</x:v>
      </x:c>
      <x:c r="C9" s="223" t="str">
        <x:v>View Book Details — Displays detailed book information, the shelf locations of available copies (Get Available Copy Locations), and the book’s current status (Check Book Status).</x:v>
      </x:c>
      <x:c r="D9" s="223" t="str">
        <x:v>Reader</x:v>
      </x:c>
      <x:c r="E9" s="223" t="str">
        <x:v>BooksController; BookCopiesController; CategoriesController</x:v>
      </x:c>
      <x:c r="F9" s="223" t="str">
        <x:v>ST-02-1, ST-02-2, ST-02-3</x:v>
      </x:c>
      <x:c r="G9" s="223" t="str">
        <x:v>evidence/planned-api/planned-api.trx</x:v>
      </x:c>
      <x:c r="H9" s="223" t="str">
        <x:v>Not Tested</x:v>
      </x:c>
      <x:c r="I9" s="223" t="str">
        <x:v>Requirement-level sign-off incomplete; linked case results can Pass without proving the entire UC.</x:v>
      </x:c>
    </x:row>
    <x:row r="10" ht="120" customHeight="1">
      <x:c r="A10" s="223" t="str">
        <x:v>UC06</x:v>
      </x:c>
      <x:c r="B10" s="223" t="str">
        <x:v>MF-15</x:v>
      </x:c>
      <x:c r="C10" s="223" t="str">
        <x:v>Search Books Using AI — Readers enter a question in natural language (Search by Natural Language). The AI Service analyzes it and returns a list of books with relevance scores and recommendation reasons (View Relevance Score &amp; Reason).</x:v>
      </x:c>
      <x:c r="D10" s="223" t="str">
        <x:v>Reader, AI Service</x:v>
      </x:c>
      <x:c r="E10" s="223" t="str">
        <x:v>RagController; AiSettingsController; DashboardController</x:v>
      </x:c>
      <x:c r="F10" s="223" t="str">
        <x:v>ST-15-1, ST-15-2, ST-15-3</x:v>
      </x:c>
      <x:c r="G10" s="223" t="str">
        <x:v>evidence/planned-api/planned-api.trx</x:v>
      </x:c>
      <x:c r="H10" s="223" t="str">
        <x:v>Not Tested</x:v>
      </x:c>
      <x:c r="I10" s="223" t="str">
        <x:v>Requirement-level sign-off incomplete; linked case results can Pass without proving the entire UC.</x:v>
      </x:c>
    </x:row>
    <x:row r="11" ht="120" customHeight="1">
      <x:c r="A11" s="223" t="str">
        <x:v>UC07</x:v>
      </x:c>
      <x:c r="B11" s="223" t="str">
        <x:v>MF-08</x:v>
      </x:c>
      <x:c r="C11" s="223" t="str">
        <x:v>Manage Personal Profile — Readers view their personal profile (View Personal Profile) and edit permitted information such as their full name, phone number, and address (Update Personal Profile).</x:v>
      </x:c>
      <x:c r="D11" s="223" t="str">
        <x:v>Reader</x:v>
      </x:c>
      <x:c r="E11" s="223" t="str">
        <x:v>ProfileController; ReadersController; LibrarianUsersController</x:v>
      </x:c>
      <x:c r="F11" s="223" t="str">
        <x:v>ST-08-1, ST-08-2, ST-08-3</x:v>
      </x:c>
      <x:c r="G11" s="223" t="str">
        <x:v>evidence/planned-api/planned-api.trx</x:v>
      </x:c>
      <x:c r="H11" s="223" t="str">
        <x:v>Not Tested</x:v>
      </x:c>
      <x:c r="I11" s="223" t="str">
        <x:v>Requirement-level sign-off incomplete; linked case results can Pass without proving the entire UC.</x:v>
      </x:c>
    </x:row>
    <x:row r="12" ht="120" customHeight="1">
      <x:c r="A12" s="223" t="str">
        <x:v>UC08</x:v>
      </x:c>
      <x:c r="B12" s="223" t="str">
        <x:v>MF-03</x:v>
      </x:c>
      <x:c r="C12" s="223" t="str">
        <x:v>Borrow Books Request — Readers submit a request to borrow a book with available copies (Create Borrow Request). Before the librarian processes it, readers can cancel the request (Cancel Borrow Request).</x:v>
      </x:c>
      <x:c r="D12" s="223" t="str">
        <x:v>Reader</x:v>
      </x:c>
      <x:c r="E12" s="223" t="str">
        <x:v>CirculationMeController; CirculationController</x:v>
      </x:c>
      <x:c r="F12" s="223" t="str">
        <x:v>ST-03-1, ST-03-2, ST-03-3, IT-001, IT-002, IT-003, IT-004, IT-005, IT-006, SM-01</x:v>
      </x:c>
      <x:c r="G12" s="223" t="str">
        <x:v>evidence/integration.trx; evidence/planned-api/planned-api.trx</x:v>
      </x:c>
      <x:c r="H12" s="223" t="str">
        <x:v>Not Tested</x:v>
      </x:c>
      <x:c r="I12" s="223" t="str">
        <x:v>Requirement-level sign-off incomplete; linked case results can Pass without proving the entire UC.</x:v>
      </x:c>
    </x:row>
    <x:row r="13" ht="120" customHeight="1">
      <x:c r="A13" s="223" t="str">
        <x:v>UC09</x:v>
      </x:c>
      <x:c r="B13" s="223" t="str">
        <x:v>MF-05</x:v>
      </x:c>
      <x:c r="C13" s="223" t="str">
        <x:v>Book Renewals — Readers request an extension of the borrowing period for books they have borrowed (Request Renewal) and can cancel the request before it is processed (Cancel Renewal Request).</x:v>
      </x:c>
      <x:c r="D13" s="223" t="str">
        <x:v>Reader</x:v>
      </x:c>
      <x:c r="E13" s="223" t="str">
        <x:v>CirculationMeController; CirculationController</x:v>
      </x:c>
      <x:c r="F13" s="223" t="str">
        <x:v>ST-05-1, ST-05-2, ST-05-3</x:v>
      </x:c>
      <x:c r="G13" s="223" t="str">
        <x:v>evidence/planned-api/planned-api.trx</x:v>
      </x:c>
      <x:c r="H13" s="223" t="str">
        <x:v>Not Tested</x:v>
      </x:c>
      <x:c r="I13" s="223" t="str">
        <x:v>Requirement-level sign-off incomplete; linked case results can Pass without proving the entire UC.</x:v>
      </x:c>
    </x:row>
    <x:row r="14" ht="120" customHeight="1">
      <x:c r="A14" s="223" t="str">
        <x:v>UC10</x:v>
      </x:c>
      <x:c r="B14" s="223" t="str">
        <x:v>MF-06</x:v>
      </x:c>
      <x:c r="C14" s="223" t="str">
        <x:v>Reserve Books — When no copies of a book are available, readers can reserve it to receive priority when a copy is returned (Create Reservation), and can cancel the reservation (Cancel Reservation).</x:v>
      </x:c>
      <x:c r="D14" s="223" t="str">
        <x:v>Reader</x:v>
      </x:c>
      <x:c r="E14" s="223" t="str">
        <x:v>CirculationMeController; CirculationController</x:v>
      </x:c>
      <x:c r="F14" s="223" t="str">
        <x:v>ST-06-1, ST-06-2, ST-06-3, SM-02</x:v>
      </x:c>
      <x:c r="G14" s="223" t="str">
        <x:v>evidence/planned-api/planned-api.trx</x:v>
      </x:c>
      <x:c r="H14" s="223" t="str">
        <x:v>Not Tested</x:v>
      </x:c>
      <x:c r="I14" s="223" t="str">
        <x:v>Requirement-level sign-off incomplete; linked case results can Pass without proving the entire UC.</x:v>
      </x:c>
    </x:row>
    <x:row r="15" ht="120" customHeight="1">
      <x:c r="A15" s="223" t="str">
        <x:v>UC11</x:v>
      </x:c>
      <x:c r="B15" s="223" t="str">
        <x:v>MF-09</x:v>
      </x:c>
      <x:c r="C15" s="223" t="str">
        <x:v>View Book Reviews &amp; Ratings — Readers view other readers’ reviews, comments, and ratings for a book.</x:v>
      </x:c>
      <x:c r="D15" s="223" t="str">
        <x:v>Reader</x:v>
      </x:c>
      <x:c r="E15" s="223" t="str">
        <x:v>BookReviewsController</x:v>
      </x:c>
      <x:c r="F15" s="223" t="str">
        <x:v>ST-09-1, ST-09-2, ST-09-3</x:v>
      </x:c>
      <x:c r="G15" s="223" t="str">
        <x:v>evidence/planned-api/planned-api.trx</x:v>
      </x:c>
      <x:c r="H15" s="223" t="str">
        <x:v>Not Tested</x:v>
      </x:c>
      <x:c r="I15" s="223" t="str">
        <x:v>Requirement-level sign-off incomplete; linked case results can Pass without proving the entire UC.</x:v>
      </x:c>
    </x:row>
    <x:row r="16" ht="120" customHeight="1">
      <x:c r="A16" s="223" t="str">
        <x:v>UC12</x:v>
      </x:c>
      <x:c r="B16" s="223" t="str">
        <x:v>MF-09</x:v>
      </x:c>
      <x:c r="C16" s="223" t="str">
        <x:v>Reviews &amp; Ratings — Readers write a review and rate a book they have borrowed (Create Review &amp; Rating), then can edit (Update My Review) or delete their review (Delete My Review).</x:v>
      </x:c>
      <x:c r="D16" s="223" t="str">
        <x:v>Reader</x:v>
      </x:c>
      <x:c r="E16" s="223" t="str">
        <x:v>BookReviewsController</x:v>
      </x:c>
      <x:c r="F16" s="223" t="str">
        <x:v>ST-09-1, ST-09-2, ST-09-3</x:v>
      </x:c>
      <x:c r="G16" s="223" t="str">
        <x:v>evidence/planned-api/planned-api.trx</x:v>
      </x:c>
      <x:c r="H16" s="223" t="str">
        <x:v>Not Tested</x:v>
      </x:c>
      <x:c r="I16" s="223" t="str">
        <x:v>Requirement-level sign-off incomplete; linked case results can Pass without proving the entire UC.</x:v>
      </x:c>
    </x:row>
    <x:row r="17" ht="120" customHeight="1">
      <x:c r="A17" s="223" t="str">
        <x:v>UC13</x:v>
      </x:c>
      <x:c r="B17" s="223" t="str">
        <x:v>MF-10</x:v>
      </x:c>
      <x:c r="C17" s="223" t="str">
        <x:v>Complaints &amp; Feedback — Readers submit complaints or feedback about library services, books, or library staff (Submit Complaint/Feedback) for the librarian to receive and handle.</x:v>
      </x:c>
      <x:c r="D17" s="223" t="str">
        <x:v>Reader</x:v>
      </x:c>
      <x:c r="E17" s="223" t="str">
        <x:v>SupportController</x:v>
      </x:c>
      <x:c r="F17" s="223" t="str">
        <x:v>ST-10-1, ST-10-2, ST-10-3</x:v>
      </x:c>
      <x:c r="G17" s="223" t="str">
        <x:v>evidence/planned-api/planned-api.trx</x:v>
      </x:c>
      <x:c r="H17" s="223" t="str">
        <x:v>Not Tested</x:v>
      </x:c>
      <x:c r="I17" s="223" t="str">
        <x:v>Requirement-level sign-off incomplete; linked case results can Pass without proving the entire UC.</x:v>
      </x:c>
    </x:row>
    <x:row r="18" ht="120" customHeight="1">
      <x:c r="A18" s="223" t="str">
        <x:v>UC14</x:v>
      </x:c>
      <x:c r="B18" s="223" t="str">
        <x:v>MF-10</x:v>
      </x:c>
      <x:c r="C18" s="223" t="str">
        <x:v>View History Complaints — Readers review the complaints they have submitted, including each complaint’s status and resolution.</x:v>
      </x:c>
      <x:c r="D18" s="223" t="str">
        <x:v>Reader</x:v>
      </x:c>
      <x:c r="E18" s="223" t="str">
        <x:v>SupportController</x:v>
      </x:c>
      <x:c r="F18" s="223" t="str">
        <x:v>ST-10-1, ST-10-2, ST-10-3</x:v>
      </x:c>
      <x:c r="G18" s="223" t="str">
        <x:v>evidence/planned-api/planned-api.trx</x:v>
      </x:c>
      <x:c r="H18" s="223" t="str">
        <x:v>Not Tested</x:v>
      </x:c>
      <x:c r="I18" s="223" t="str">
        <x:v>Requirement-level sign-off incomplete; linked case results can Pass without proving the entire UC.</x:v>
      </x:c>
    </x:row>
    <x:row r="19" ht="120" customHeight="1">
      <x:c r="A19" s="223" t="str">
        <x:v>UC15</x:v>
      </x:c>
      <x:c r="B19" s="223" t="str">
        <x:v>MF-10</x:v>
      </x:c>
      <x:c r="C19" s="223" t="str">
        <x:v>Submit Library Support Request — Readers submit a request for library service support (e.g., card replacement or questions about regulations) for the librarian to respond to.</x:v>
      </x:c>
      <x:c r="D19" s="223" t="str">
        <x:v>Reader</x:v>
      </x:c>
      <x:c r="E19" s="223" t="str">
        <x:v>SupportController</x:v>
      </x:c>
      <x:c r="F19" s="223" t="str">
        <x:v>ST-10-1, ST-10-2, ST-10-3</x:v>
      </x:c>
      <x:c r="G19" s="223" t="str">
        <x:v>evidence/planned-api/planned-api.trx</x:v>
      </x:c>
      <x:c r="H19" s="223" t="str">
        <x:v>Not Tested</x:v>
      </x:c>
      <x:c r="I19" s="223" t="str">
        <x:v>Requirement-level sign-off incomplete; linked case results can Pass without proving the entire UC.</x:v>
      </x:c>
    </x:row>
    <x:row r="20" ht="120" customHeight="1">
      <x:c r="A20" s="223" t="str">
        <x:v>UC16</x:v>
      </x:c>
      <x:c r="B20" s="223" t="str">
        <x:v>MF-07</x:v>
      </x:c>
      <x:c r="C20" s="223" t="str">
        <x:v>View Fines — Readers view the details and reasons for fines (View Fine Details &amp; Reasons), track payment status and transactions (View Fine Payment Status &amp; Transactions), and pay fines online (Pay Fine).</x:v>
      </x:c>
      <x:c r="D20" s="223" t="str">
        <x:v>Reader</x:v>
      </x:c>
      <x:c r="E20" s="223" t="str">
        <x:v>CirculationMeController; CirculationController; PayOSWebhookController</x:v>
      </x:c>
      <x:c r="F20" s="223" t="str">
        <x:v>ST-07-1, ST-07-2, ST-07-3, IT-010, IT-011, IT-012, SM-03</x:v>
      </x:c>
      <x:c r="G20" s="223" t="str">
        <x:v>evidence/integration.trx; evidence/planned-api/planned-api.trx</x:v>
      </x:c>
      <x:c r="H20" s="223" t="str">
        <x:v>Not Tested</x:v>
      </x:c>
      <x:c r="I20" s="223" t="str">
        <x:v>Requirement-level sign-off incomplete; linked case results can Pass without proving the entire UC.</x:v>
      </x:c>
    </x:row>
    <x:row r="21" ht="120" customHeight="1">
      <x:c r="A21" s="223" t="str">
        <x:v>UC17</x:v>
      </x:c>
      <x:c r="B21" s="223" t="str">
        <x:v>MF-11</x:v>
      </x:c>
      <x:c r="C21" s="223" t="str">
        <x:v>View Notifications / View Library News — Readers view personal notifications, such as due-date reminders and request approval results, as well as general news and announcements posted by the library.</x:v>
      </x:c>
      <x:c r="D21" s="223" t="str">
        <x:v>Reader</x:v>
      </x:c>
      <x:c r="E21" s="223" t="str">
        <x:v>NewsController; NotificationsController</x:v>
      </x:c>
      <x:c r="F21" s="223" t="str">
        <x:v>ST-11-1, ST-11-2, ST-11-3</x:v>
      </x:c>
      <x:c r="G21" s="223" t="str">
        <x:v>evidence/planned-api/planned-api.trx</x:v>
      </x:c>
      <x:c r="H21" s="223" t="str">
        <x:v>Not Tested</x:v>
      </x:c>
      <x:c r="I21" s="223" t="str">
        <x:v>Requirement-level sign-off incomplete; linked case results can Pass without proving the entire UC.</x:v>
      </x:c>
    </x:row>
    <x:row r="22" ht="120" customHeight="1">
      <x:c r="A22" s="223" t="str">
        <x:v>UC18</x:v>
      </x:c>
      <x:c r="B22" s="223" t="str">
        <x:v>MF-01</x:v>
      </x:c>
      <x:c r="C22" s="223" t="str">
        <x:v>Approve External Reader Registration — The librarian reviews registration applications from external readers and approves or rejects them to grant access to library services.</x:v>
      </x:c>
      <x:c r="D22" s="223" t="str">
        <x:v>Librarian</x:v>
      </x:c>
      <x:c r="E22" s="223" t="str">
        <x:v>AuthController; RegistrationsController; MeController</x:v>
      </x:c>
      <x:c r="F22" s="223" t="str">
        <x:v>ST-01-1, ST-01-2, ST-01-3, IT-015, IT-016, IT-017, IT-018, SM-04</x:v>
      </x:c>
      <x:c r="G22" s="223" t="str">
        <x:v>evidence/integration.trx; evidence/planned-api/planned-api.trx</x:v>
      </x:c>
      <x:c r="H22" s="223" t="str">
        <x:v>Fail</x:v>
      </x:c>
      <x:c r="I22" s="223" t="str">
        <x:v>R5-DEF-001; partial approval workflow failed.</x:v>
      </x:c>
    </x:row>
    <x:row r="23" ht="120" customHeight="1">
      <x:c r="A23" s="223" t="str">
        <x:v>UC19</x:v>
      </x:c>
      <x:c r="B23" s="223" t="str">
        <x:v>MF-08</x:v>
      </x:c>
      <x:c r="C23" s="223" t="str">
        <x:v>View Reader Information — The librarian looks up reader profiles, borrowing and return history, and violation status to support library operations.</x:v>
      </x:c>
      <x:c r="D23" s="223" t="str">
        <x:v>Librarian</x:v>
      </x:c>
      <x:c r="E23" s="223" t="str">
        <x:v>ProfileController; ReadersController; LibrarianUsersController</x:v>
      </x:c>
      <x:c r="F23" s="223" t="str">
        <x:v>ST-08-1, ST-08-2, ST-08-3</x:v>
      </x:c>
      <x:c r="G23" s="223" t="str">
        <x:v>evidence/planned-api/planned-api.trx</x:v>
      </x:c>
      <x:c r="H23" s="223" t="str">
        <x:v>Not Tested</x:v>
      </x:c>
      <x:c r="I23" s="223" t="str">
        <x:v>Requirement-level sign-off incomplete; linked case results can Pass without proving the entire UC.</x:v>
      </x:c>
    </x:row>
    <x:row r="24" ht="120" customHeight="1">
      <x:c r="A24" s="223" t="str">
        <x:v>UC20</x:v>
      </x:c>
      <x:c r="B24" s="223" t="str">
        <x:v>MF-08</x:v>
      </x:c>
      <x:c r="C24" s="223" t="str">
        <x:v>Manage Personal Profile — The librarian views (View Personal Profile) and updates (Update Personal Profile) their own personal profile information.</x:v>
      </x:c>
      <x:c r="D24" s="223" t="str">
        <x:v>Librarian</x:v>
      </x:c>
      <x:c r="E24" s="223" t="str">
        <x:v>ProfileController; ReadersController; LibrarianUsersController</x:v>
      </x:c>
      <x:c r="F24" s="223" t="str">
        <x:v>ST-08-1, ST-08-2, ST-08-3</x:v>
      </x:c>
      <x:c r="G24" s="223" t="str">
        <x:v>evidence/planned-api/planned-api.trx</x:v>
      </x:c>
      <x:c r="H24" s="223" t="str">
        <x:v>Not Tested</x:v>
      </x:c>
      <x:c r="I24" s="223" t="str">
        <x:v>Requirement-level sign-off incomplete; linked case results can Pass without proving the entire UC.</x:v>
      </x:c>
    </x:row>
    <x:row r="25" ht="120" customHeight="1">
      <x:c r="A25" s="223" t="str">
        <x:v>UC21</x:v>
      </x:c>
      <x:c r="B25" s="223" t="str">
        <x:v>MF-11</x:v>
      </x:c>
      <x:c r="C25" s="223" t="str">
        <x:v>Manage News — The librarian publishes, edits, and deletes library news and announcements for readers to view in the news section.</x:v>
      </x:c>
      <x:c r="D25" s="223" t="str">
        <x:v>Librarian</x:v>
      </x:c>
      <x:c r="E25" s="223" t="str">
        <x:v>NewsController; NotificationsController</x:v>
      </x:c>
      <x:c r="F25" s="223" t="str">
        <x:v>ST-11-1, ST-11-2, ST-11-3</x:v>
      </x:c>
      <x:c r="G25" s="223" t="str">
        <x:v>evidence/planned-api/planned-api.trx</x:v>
      </x:c>
      <x:c r="H25" s="223" t="str">
        <x:v>Not Tested</x:v>
      </x:c>
      <x:c r="I25" s="223" t="str">
        <x:v>Requirement-level sign-off incomplete; linked case results can Pass without proving the entire UC.</x:v>
      </x:c>
    </x:row>
    <x:row r="26" ht="120" customHeight="1">
      <x:c r="A26" s="223" t="str">
        <x:v>UC22</x:v>
      </x:c>
      <x:c r="B26" s="223" t="str">
        <x:v>MF-03</x:v>
      </x:c>
      <x:c r="C26" s="223" t="str">
        <x:v>View Borrowing Request — The librarian views readers’ book borrowing requests and decides whether to approve or reject them (Approve/Reject).</x:v>
      </x:c>
      <x:c r="D26" s="223" t="str">
        <x:v>Librarian</x:v>
      </x:c>
      <x:c r="E26" s="223" t="str">
        <x:v>CirculationMeController; CirculationController</x:v>
      </x:c>
      <x:c r="F26" s="223" t="str">
        <x:v>ST-03-1, ST-03-2, ST-03-3, IT-004, IT-013, IT-014, SM-01</x:v>
      </x:c>
      <x:c r="G26" s="223" t="str">
        <x:v>evidence/integration.trx; evidence/planned-api/planned-api.trx</x:v>
      </x:c>
      <x:c r="H26" s="223" t="str">
        <x:v>Not Tested</x:v>
      </x:c>
      <x:c r="I26" s="223" t="str">
        <x:v>Requirement-level sign-off incomplete; linked case results can Pass without proving the entire UC.</x:v>
      </x:c>
    </x:row>
    <x:row r="27" ht="120" customHeight="1">
      <x:c r="A27" s="223" t="str">
        <x:v>UC23</x:v>
      </x:c>
      <x:c r="B27" s="223" t="str">
        <x:v>MF-03</x:v>
      </x:c>
      <x:c r="C27" s="223" t="str">
        <x:v>Create Borrowing Ticket — The librarian creates a borrowing ticket for an approved request or lends books directly to readers at the service desk, recording the copy and due date.</x:v>
      </x:c>
      <x:c r="D27" s="223" t="str">
        <x:v>Librarian</x:v>
      </x:c>
      <x:c r="E27" s="223" t="str">
        <x:v>CirculationMeController; CirculationController</x:v>
      </x:c>
      <x:c r="F27" s="223" t="str">
        <x:v>ST-03-1, ST-03-2, ST-03-3, IT-004, SM-01</x:v>
      </x:c>
      <x:c r="G27" s="223" t="str">
        <x:v>evidence/integration.trx; evidence/planned-api/planned-api.trx</x:v>
      </x:c>
      <x:c r="H27" s="223" t="str">
        <x:v>Not Tested</x:v>
      </x:c>
      <x:c r="I27" s="223" t="str">
        <x:v>Requirement-level sign-off incomplete; linked case results can Pass without proving the entire UC.</x:v>
      </x:c>
    </x:row>
    <x:row r="28" ht="120" customHeight="1">
      <x:c r="A28" s="223" t="str">
        <x:v>UC24</x:v>
      </x:c>
      <x:c r="B28" s="223" t="str">
        <x:v>MF-04</x:v>
      </x:c>
      <x:c r="C28" s="223" t="str">
        <x:v>Returning &amp; Renewal — The librarian records book return transactions (Record Return Transaction) and book renewal transactions (Record Renewal Transaction) when readers return or renew books.</x:v>
      </x:c>
      <x:c r="D28" s="223" t="str">
        <x:v>Librarian</x:v>
      </x:c>
      <x:c r="E28" s="223" t="str">
        <x:v>CirculationController</x:v>
      </x:c>
      <x:c r="F28" s="223" t="str">
        <x:v>ST-04-1, ST-04-2, ST-04-3, ST-05-1, ST-05-2, ST-05-3, IT-004, IT-019, IT-020, IT-021, SM-01</x:v>
      </x:c>
      <x:c r="G28" s="223" t="str">
        <x:v>evidence/integration.trx; evidence/planned-api/planned-api.trx</x:v>
      </x:c>
      <x:c r="H28" s="223" t="str">
        <x:v>Not Tested</x:v>
      </x:c>
      <x:c r="I28" s="223" t="str">
        <x:v>Requirement-level sign-off incomplete; linked case results can Pass without proving the entire UC.</x:v>
      </x:c>
    </x:row>
    <x:row r="29" ht="120" customHeight="1">
      <x:c r="A29" s="223" t="str">
        <x:v>UC25</x:v>
      </x:c>
      <x:c r="B29" s="223" t="str">
        <x:v>MF-06</x:v>
      </x:c>
      <x:c r="C29" s="223" t="str">
        <x:v>Book Reservation — The librarian views readers’ reservation requests (View Reservation Requests) and processes them when copies become available again.</x:v>
      </x:c>
      <x:c r="D29" s="223" t="str">
        <x:v>Librarian</x:v>
      </x:c>
      <x:c r="E29" s="223" t="str">
        <x:v>CirculationMeController; CirculationController</x:v>
      </x:c>
      <x:c r="F29" s="223" t="str">
        <x:v>ST-06-1, ST-06-2, ST-06-3, IT-001, IT-002, IT-003, SM-02</x:v>
      </x:c>
      <x:c r="G29" s="223" t="str">
        <x:v>evidence/integration.trx; evidence/planned-api/planned-api.trx</x:v>
      </x:c>
      <x:c r="H29" s="223" t="str">
        <x:v>Not Tested</x:v>
      </x:c>
      <x:c r="I29" s="223" t="str">
        <x:v>Requirement-level sign-off incomplete; linked case results can Pass without proving the entire UC.</x:v>
      </x:c>
    </x:row>
    <x:row r="30" ht="120" customHeight="1">
      <x:c r="A30" s="223" t="str">
        <x:v>UC26</x:v>
      </x:c>
      <x:c r="B30" s="223" t="str">
        <x:v>MF-04</x:v>
      </x:c>
      <x:c r="C30" s="223" t="str">
        <x:v>Overdue, Damaged &amp; Lost Book — The librarian monitors overdue borrowing tickets (Track Overdue Borrowing Tickets) and records books that are damaged (Record Damaged Book) or lost (Record Lost Book).</x:v>
      </x:c>
      <x:c r="D30" s="223" t="str">
        <x:v>Librarian</x:v>
      </x:c>
      <x:c r="E30" s="223" t="str">
        <x:v>CirculationController</x:v>
      </x:c>
      <x:c r="F30" s="223" t="str">
        <x:v>ST-04-1, ST-04-2, ST-04-3, IT-001, IT-002, IT-003, IT-019, IT-020, IT-021, SM-05</x:v>
      </x:c>
      <x:c r="G30" s="223" t="str">
        <x:v>evidence/integration.trx; evidence/planned-api/planned-api.trx</x:v>
      </x:c>
      <x:c r="H30" s="223" t="str">
        <x:v>Not Tested</x:v>
      </x:c>
      <x:c r="I30" s="223" t="str">
        <x:v>Requirement-level sign-off incomplete; linked case results can Pass without proving the entire UC.</x:v>
      </x:c>
    </x:row>
    <x:row r="31" ht="120" customHeight="1">
      <x:c r="A31" s="223" t="str">
        <x:v>UC27</x:v>
      </x:c>
      <x:c r="B31" s="223" t="str">
        <x:v>MF-10</x:v>
      </x:c>
      <x:c r="C31" s="223" t="str">
        <x:v>Reader Complaints &amp; Service Requests — The librarian receives and handles reader complaints (Process Reader Complaints) and library support requests (Process Library Support Requests), then communicates the outcomes.</x:v>
      </x:c>
      <x:c r="D31" s="223" t="str">
        <x:v>Librarian</x:v>
      </x:c>
      <x:c r="E31" s="223" t="str">
        <x:v>SupportController</x:v>
      </x:c>
      <x:c r="F31" s="223" t="str">
        <x:v>ST-10-1, ST-10-2, ST-10-3</x:v>
      </x:c>
      <x:c r="G31" s="223" t="str">
        <x:v>evidence/planned-api/planned-api.trx</x:v>
      </x:c>
      <x:c r="H31" s="223" t="str">
        <x:v>Not Tested</x:v>
      </x:c>
      <x:c r="I31" s="223" t="str">
        <x:v>Requirement-level sign-off incomplete; linked case results can Pass without proving the entire UC.</x:v>
      </x:c>
    </x:row>
    <x:row r="32" ht="120" customHeight="1">
      <x:c r="A32" s="223" t="str">
        <x:v>UC28</x:v>
      </x:c>
      <x:c r="B32" s="223" t="str">
        <x:v>MF-02</x:v>
      </x:c>
      <x:c r="C32" s="223" t="str">
        <x:v>Manage Books and Book Copies — The librarian adds new books, updates book information, and searches for books; adds and updates copies; updates quantities and availability statuses; views available books; and views and responds to book comments.</x:v>
      </x:c>
      <x:c r="D32" s="223" t="str">
        <x:v>Librarian</x:v>
      </x:c>
      <x:c r="E32" s="223" t="str">
        <x:v>BooksController; BookCopiesController; CategoriesController</x:v>
      </x:c>
      <x:c r="F32" s="223" t="str">
        <x:v>ST-02-1, ST-02-2, ST-02-3, IT-007, IT-008, IT-009</x:v>
      </x:c>
      <x:c r="G32" s="223" t="str">
        <x:v>evidence/integration.trx; evidence/planned-api/planned-api.trx</x:v>
      </x:c>
      <x:c r="H32" s="223" t="str">
        <x:v>Fail</x:v>
      </x:c>
      <x:c r="I32" s="223" t="str">
        <x:v>R5-DEF-002; catalog form-create authorization failed.</x:v>
      </x:c>
    </x:row>
    <x:row r="33" ht="120" customHeight="1">
      <x:c r="A33" s="223" t="str">
        <x:v>UC29</x:v>
      </x:c>
      <x:c r="B33" s="223" t="str">
        <x:v>MF-02</x:v>
      </x:c>
      <x:c r="C33" s="223" t="str">
        <x:v>Manage Book Import Tickets — The librarian creates, updates, deletes, and searches book import tickets to manage books received into inventory.</x:v>
      </x:c>
      <x:c r="D33" s="223" t="str">
        <x:v>Librarian</x:v>
      </x:c>
      <x:c r="E33" s="223" t="str">
        <x:v>BooksController; BookCopiesController; CategoriesController</x:v>
      </x:c>
      <x:c r="F33" s="223" t="str">
        <x:v>ST-02-1, ST-02-2, ST-02-3</x:v>
      </x:c>
      <x:c r="G33" s="223" t="str">
        <x:v>evidence/planned-api/planned-api.trx</x:v>
      </x:c>
      <x:c r="H33" s="223" t="str">
        <x:v>Not Tested</x:v>
      </x:c>
      <x:c r="I33" s="223" t="str">
        <x:v>Requirement-level sign-off incomplete; linked case results can Pass without proving the entire UC.</x:v>
      </x:c>
    </x:row>
    <x:row r="34" ht="120" customHeight="1">
      <x:c r="A34" s="223" t="str">
        <x:v>UC30</x:v>
      </x:c>
      <x:c r="B34" s="223" t="str">
        <x:v>MF-07</x:v>
      </x:c>
      <x:c r="C34" s="223" t="str">
        <x:v>Manage Fine — The librarian calculates and records fines, views fine information, handles fines for overdue, damaged, or lost books, and updates fine payment statuses.</x:v>
      </x:c>
      <x:c r="D34" s="223" t="str">
        <x:v>Librarian</x:v>
      </x:c>
      <x:c r="E34" s="223" t="str">
        <x:v>CirculationMeController; CirculationController; PayOSWebhookController</x:v>
      </x:c>
      <x:c r="F34" s="223" t="str">
        <x:v>ST-07-1, ST-07-2, ST-07-3, IT-010, IT-012, SM-03, SM-05</x:v>
      </x:c>
      <x:c r="G34" s="223" t="str">
        <x:v>evidence/integration.trx; evidence/planned-api/planned-api.trx</x:v>
      </x:c>
      <x:c r="H34" s="223" t="str">
        <x:v>Not Tested</x:v>
      </x:c>
      <x:c r="I34" s="223" t="str">
        <x:v>Requirement-level sign-off incomplete; linked case results can Pass without proving the entire UC.</x:v>
      </x:c>
    </x:row>
    <x:row r="35" ht="120" customHeight="1">
      <x:c r="A35" s="223" t="str">
        <x:v>UC31</x:v>
      </x:c>
      <x:c r="B35" s="223" t="str">
        <x:v>MF-11</x:v>
      </x:c>
      <x:c r="C35" s="223" t="str">
        <x:v>Send Reader Notifications — The librarian sends notifications to readers, such as book due-date reminders, request processing results, and fine notices.</x:v>
      </x:c>
      <x:c r="D35" s="223" t="str">
        <x:v>Librarian</x:v>
      </x:c>
      <x:c r="E35" s="223" t="str">
        <x:v>NewsController; NotificationsController</x:v>
      </x:c>
      <x:c r="F35" s="223" t="str">
        <x:v>ST-11-1, ST-11-2, ST-11-3</x:v>
      </x:c>
      <x:c r="G35" s="223" t="str">
        <x:v>evidence/planned-api/planned-api.trx</x:v>
      </x:c>
      <x:c r="H35" s="223" t="str">
        <x:v>Not Tested</x:v>
      </x:c>
      <x:c r="I35" s="223" t="str">
        <x:v>Requirement-level sign-off incomplete; linked case results can Pass without proving the entire UC.</x:v>
      </x:c>
    </x:row>
    <x:row r="36" ht="120" customHeight="1">
      <x:c r="A36" s="223" t="str">
        <x:v>UC32</x:v>
      </x:c>
      <x:c r="B36" s="223" t="str">
        <x:v>MF-15</x:v>
      </x:c>
      <x:c r="C36" s="223" t="str">
        <x:v>View Book Demand Report — The librarian views an AI Service-generated report on book demand to support decisions about purchasing additional books or adding more copies.</x:v>
      </x:c>
      <x:c r="D36" s="223" t="str">
        <x:v>Librarian, AI Service</x:v>
      </x:c>
      <x:c r="E36" s="223" t="str">
        <x:v>RagController; AiSettingsController; DashboardController</x:v>
      </x:c>
      <x:c r="F36" s="223" t="str">
        <x:v>ST-15-1, ST-15-2, ST-15-3</x:v>
      </x:c>
      <x:c r="G36" s="223" t="str">
        <x:v>evidence/planned-api/planned-api.trx</x:v>
      </x:c>
      <x:c r="H36" s="223" t="str">
        <x:v>Not Tested</x:v>
      </x:c>
      <x:c r="I36" s="223" t="str">
        <x:v>Requirement-level sign-off incomplete; linked case results can Pass without proving the entire UC.</x:v>
      </x:c>
    </x:row>
    <x:row r="37" ht="120" customHeight="1">
      <x:c r="A37" s="223" t="str">
        <x:v>UC33</x:v>
      </x:c>
      <x:c r="B37" s="223" t="str">
        <x:v>MF-12</x:v>
      </x:c>
      <x:c r="C37" s="223" t="str">
        <x:v>Manage Users — The admin views the user list (View Users) and creates new accounts for librarians (Create Librarian Account).</x:v>
      </x:c>
      <x:c r="D37" s="223" t="str">
        <x:v>Admin</x:v>
      </x:c>
      <x:c r="E37" s="223" t="str">
        <x:v>AdminUsersController</x:v>
      </x:c>
      <x:c r="F37" s="223" t="str">
        <x:v>ST-12-1, ST-12-2, ST-12-3</x:v>
      </x:c>
      <x:c r="G37" s="223" t="str">
        <x:v>evidence/planned-api/planned-api.trx</x:v>
      </x:c>
      <x:c r="H37" s="223" t="str">
        <x:v>Not Tested</x:v>
      </x:c>
      <x:c r="I37" s="223" t="str">
        <x:v>Requirement-level sign-off incomplete; linked case results can Pass without proving the entire UC.</x:v>
      </x:c>
    </x:row>
    <x:row r="38" ht="120" customHeight="1">
      <x:c r="A38" s="223" t="str">
        <x:v>UC34</x:v>
      </x:c>
      <x:c r="B38" s="223" t="str">
        <x:v>MF-12</x:v>
      </x:c>
      <x:c r="C38" s="223" t="str">
        <x:v>View Roles &amp; Permissions — The admin views the roles and permissions assigned to each user group in the system.</x:v>
      </x:c>
      <x:c r="D38" s="223" t="str">
        <x:v>Admin</x:v>
      </x:c>
      <x:c r="E38" s="223" t="str">
        <x:v>AdminUsersController</x:v>
      </x:c>
      <x:c r="F38" s="223" t="str">
        <x:v>ST-12-1, ST-12-2, ST-12-3</x:v>
      </x:c>
      <x:c r="G38" s="223" t="str">
        <x:v>evidence/planned-api/planned-api.trx</x:v>
      </x:c>
      <x:c r="H38" s="223" t="str">
        <x:v>Not Tested</x:v>
      </x:c>
      <x:c r="I38" s="223" t="str">
        <x:v>Requirement-level sign-off incomplete; linked case results can Pass without proving the entire UC.</x:v>
      </x:c>
    </x:row>
    <x:row r="39" ht="120" customHeight="1">
      <x:c r="A39" s="223" t="str">
        <x:v>UC35</x:v>
      </x:c>
      <x:c r="B39" s="223" t="str">
        <x:v>MF-13</x:v>
      </x:c>
      <x:c r="C39" s="223" t="str">
        <x:v>Manage Policies &amp; Regulations — The admin views the library’s policies and regulations (View Policies &amp; Regulations) and configures settings such as borrowing periods, maximum number of books, and fine amounts (Configure Library Policies).</x:v>
      </x:c>
      <x:c r="D39" s="223" t="str">
        <x:v>Admin</x:v>
      </x:c>
      <x:c r="E39" s="223" t="str">
        <x:v>PolicyRulesController; RegulationsController</x:v>
      </x:c>
      <x:c r="F39" s="223" t="str">
        <x:v>ST-13-1, ST-13-2, ST-13-3</x:v>
      </x:c>
      <x:c r="G39" s="223" t="str">
        <x:v>evidence/planned-api/planned-api.trx</x:v>
      </x:c>
      <x:c r="H39" s="223" t="str">
        <x:v>Not Tested</x:v>
      </x:c>
      <x:c r="I39" s="223" t="str">
        <x:v>Requirement-level sign-off incomplete; linked case results can Pass without proving the entire UC.</x:v>
      </x:c>
    </x:row>
    <x:row r="40" ht="120" customHeight="1">
      <x:c r="A40" s="223" t="str">
        <x:v>UC36</x:v>
      </x:c>
      <x:c r="B40" s="223" t="str">
        <x:v>MF-14</x:v>
      </x:c>
      <x:c r="C40" s="223" t="str">
        <x:v>Manage AI Services — The admin configures the AI-powered search service (Configure AI Search) and the AI-powered book recommendation service (Configure AI Recommendations).</x:v>
      </x:c>
      <x:c r="D40" s="223" t="str">
        <x:v>Admin</x:v>
      </x:c>
      <x:c r="E40" s="223" t="str">
        <x:v>AiSettingsController</x:v>
      </x:c>
      <x:c r="F40" s="223" t="str">
        <x:v>ST-14-1, ST-14-2, ST-14-3</x:v>
      </x:c>
      <x:c r="G40" s="223" t="str">
        <x:v>evidence/planned-api/planned-api.trx</x:v>
      </x:c>
      <x:c r="H40" s="223" t="str">
        <x:v>Not Tested</x:v>
      </x:c>
      <x:c r="I40" s="223" t="str">
        <x:v>Requirement-level sign-off incomplete; linked case results can Pass without proving the entire UC.</x:v>
      </x:c>
    </x:row>
    <x:row r="41" ht="120" customHeight="1">
      <x:c r="A41" s="223" t="str">
        <x:v>UC37</x:v>
      </x:c>
      <x:c r="B41" s="223" t="str">
        <x:v>MF-16</x:v>
      </x:c>
      <x:c r="C41" s="223" t="str">
        <x:v>View Statistics &amp; Generate Reports — The admin views statistics on books and resources, borrowing and returns, and reader activity, and exports reports when needed (Export Reports).</x:v>
      </x:c>
      <x:c r="D41" s="223" t="str">
        <x:v>Admin</x:v>
      </x:c>
      <x:c r="E41" s="223" t="str">
        <x:v>AdminReportsController; LibrarianReportsController; DashboardController</x:v>
      </x:c>
      <x:c r="F41" s="223" t="str">
        <x:v>ST-16-1, ST-16-2, ST-16-3</x:v>
      </x:c>
      <x:c r="G41" s="223" t="str">
        <x:v>evidence/planned-api/planned-api.trx</x:v>
      </x:c>
      <x:c r="H41" s="223" t="str">
        <x:v>Not Tested</x:v>
      </x:c>
      <x:c r="I41" s="223" t="str">
        <x:v>Requirement-level sign-off incomplete; linked case results can Pass without proving the entire UC.</x:v>
      </x:c>
    </x:row>
    <x:row r="42" ht="120" customHeight="1">
      <x:c r="A42" s="223" t="str">
        <x:v>UC38</x:v>
      </x:c>
      <x:c r="B42" s="223" t="str">
        <x:v>MF-15</x:v>
      </x:c>
      <x:c r="C42" s="223" t="str">
        <x:v>Analyze Book Demand — The AI Service identifies books that are in high demand (Find Popular Books), checks whether they can meet demand (Check Book Availability), and generates a book demand report (Create "Book Demand" Report).</x:v>
      </x:c>
      <x:c r="D42" s="223" t="str">
        <x:v>AI Service</x:v>
      </x:c>
      <x:c r="E42" s="223" t="str">
        <x:v>RagController; AiSettingsController; DashboardController</x:v>
      </x:c>
      <x:c r="F42" s="223" t="str">
        <x:v>ST-15-1, ST-15-2, ST-15-3</x:v>
      </x:c>
      <x:c r="G42" s="223" t="str">
        <x:v>evidence/planned-api/planned-api.trx</x:v>
      </x:c>
      <x:c r="H42" s="223" t="str">
        <x:v>Not Tested</x:v>
      </x:c>
      <x:c r="I42" s="223" t="str">
        <x:v>Requirement-level sign-off incomplete; linked case results can Pass without proving the entire UC.</x:v>
      </x:c>
    </x:row>
    <x:row r="43" ht="120" customHeight="1">
      <x:c r="A43" s="223" t="str">
        <x:v>UC39</x:v>
      </x:c>
      <x:c r="B43" s="223" t="str">
        <x:v>MF-15</x:v>
      </x:c>
      <x:c r="C43" s="223" t="str">
        <x:v>Generate Book Recommendations — The AI Service analyzes readers’ reading preferences (Analyze Reader Preferences) and recommends suitable books.</x:v>
      </x:c>
      <x:c r="D43" s="223" t="str">
        <x:v>AI Service, Reader</x:v>
      </x:c>
      <x:c r="E43" s="223" t="str">
        <x:v>RagController; AiSettingsController; DashboardController</x:v>
      </x:c>
      <x:c r="F43" s="223" t="str">
        <x:v>ST-15-1, ST-15-2, ST-15-3</x:v>
      </x:c>
      <x:c r="G43" s="223" t="str">
        <x:v>evidence/planned-api/planned-api.trx</x:v>
      </x:c>
      <x:c r="H43" s="223" t="str">
        <x:v>Not Tested</x:v>
      </x:c>
      <x:c r="I43" s="223" t="str">
        <x:v>Requirement-level sign-off incomplete; linked case results can Pass without proving the entire UC.</x:v>
      </x:c>
    </x:row>
    <x:row r="44" ht="120" customHeight="1">
      <x:c r="A44" s="223" t="str">
        <x:v>UC40</x:v>
      </x:c>
      <x:c r="B44" s="223" t="str">
        <x:v>MF-15</x:v>
      </x:c>
      <x:c r="C44" s="223" t="str">
        <x:v>Search Books Using AI — The AI Service interprets readers’ search queries (Understand Search Query), then ranks books by relevance (Rank Relevant Books) and returns results for Use Case 06.</x:v>
      </x:c>
      <x:c r="D44" s="223" t="str">
        <x:v>AI Service, Reader</x:v>
      </x:c>
      <x:c r="E44" s="223" t="str">
        <x:v>RagController; AiSettingsController; DashboardController</x:v>
      </x:c>
      <x:c r="F44" s="223" t="str">
        <x:v>ST-15-1, ST-15-2, ST-15-3</x:v>
      </x:c>
      <x:c r="G44" s="223" t="str">
        <x:v>evidence/planned-api/planned-api.trx</x:v>
      </x:c>
      <x:c r="H44" s="223" t="str">
        <x:v>Not Tested</x:v>
      </x:c>
      <x:c r="I44" s="223" t="str">
        <x:v>Requirement-level sign-off incomplete; linked case results can Pass without proving the entire UC.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35" hidden="0" customWidth="1"/>
    <x:col min="3" max="3" width="85" hidden="0" customWidth="1"/>
    <x:col min="4" max="4" width="85" hidden="0" customWidth="1"/>
    <x:col min="5" max="5" width="30" hidden="0" customWidth="1"/>
    <x:col min="6" max="6" width="16" hidden="0" customWidth="1"/>
    <x:col min="7" max="7" width="55" hidden="0" customWidth="1"/>
  </x:cols>
  <x:sheetData>
    <x:row r="2">
      <x:c r="A2" s="242" t="str">
        <x:v>Unit Traceability</x:v>
      </x:c>
    </x:row>
    <x:row r="4" ht="32" customHeight="1">
      <x:c r="A4" s="218" t="str">
        <x:v>Test ID</x:v>
      </x:c>
      <x:c r="B4" s="218" t="str">
        <x:v>Related UCs</x:v>
      </x:c>
      <x:c r="C4" s="218" t="str">
        <x:v>Test method</x:v>
      </x:c>
      <x:c r="D4" s="218" t="str">
        <x:v>Source</x:v>
      </x:c>
      <x:c r="E4" s="218" t="str">
        <x:v>Evidence</x:v>
      </x:c>
      <x:c r="F4" s="218" t="str">
        <x:v>Case result</x:v>
      </x:c>
      <x:c r="G4" s="218" t="str">
        <x:v>Mapping limit</x:v>
      </x:c>
    </x:row>
    <x:row r="5" ht="60" customHeight="1">
      <x:c r="A5" s="223" t="str">
        <x:v>UT-001</x:v>
      </x:c>
      <x:c r="B5" s="223" t="str">
        <x:v>UC32, UC38, UC39</x:v>
      </x:c>
      <x:c r="C5" s="223" t="str">
        <x:v>SmartLibrary.UnitTests.Features.Ai.AiInsightsServiceTests.GetLibrarianWorkspaceAsync_WhenLibrarian_MapsRealCounts</x:v>
      </x:c>
      <x:c r="D5" s="223" t="str">
        <x:v>apps/api/tests/SmartLibrary.UnitTests/Features/Ai/AiInsightsServiceTests.cs:49</x:v>
      </x:c>
      <x:c r="E5" s="223" t="str">
        <x:v>evidence/unit.trx</x:v>
      </x:c>
      <x:c r="F5" s="223" t="str">
        <x:v>Passed</x:v>
      </x:c>
      <x:c r="G5" s="223" t="str">
        <x:v>Module-level supporting evidence; not full UC acceptance.</x:v>
      </x:c>
    </x:row>
    <x:row r="6" ht="60" customHeight="1">
      <x:c r="A6" s="223" t="str">
        <x:v>UT-002</x:v>
      </x:c>
      <x:c r="B6" s="223" t="str">
        <x:v>UC32, UC38, UC39</x:v>
      </x:c>
      <x:c r="C6" s="223" t="str">
        <x:v>SmartLibrary.UnitTests.Features.Ai.AiInsightsServiceTests.GetLibrarianWorkspaceAsync_WhenReader_ReturnsForbidden</x:v>
      </x:c>
      <x:c r="D6" s="223" t="str">
        <x:v>apps/api/tests/SmartLibrary.UnitTests/Features/Ai/AiInsightsServiceTests.cs:39</x:v>
      </x:c>
      <x:c r="E6" s="223" t="str">
        <x:v>evidence/unit.trx</x:v>
      </x:c>
      <x:c r="F6" s="223" t="str">
        <x:v>Passed</x:v>
      </x:c>
      <x:c r="G6" s="223" t="str">
        <x:v>Module-level supporting evidence; not full UC acceptance.</x:v>
      </x:c>
    </x:row>
    <x:row r="7" ht="60" customHeight="1">
      <x:c r="A7" s="223" t="str">
        <x:v>UT-003</x:v>
      </x:c>
      <x:c r="B7" s="223" t="str">
        <x:v>UC32, UC38, UC39</x:v>
      </x:c>
      <x:c r="C7" s="223" t="str">
        <x:v>SmartLibrary.UnitTests.Features.Ai.AiInsightsServiceTests.GetLibrarianWorkspaceAsync_WhenTrendsOff_HidesStats</x:v>
      </x:c>
      <x:c r="D7" s="223" t="str">
        <x:v>apps/api/tests/SmartLibrary.UnitTests/Features/Ai/AiInsightsServiceTests.cs:76</x:v>
      </x:c>
      <x:c r="E7" s="223" t="str">
        <x:v>evidence/unit.trx</x:v>
      </x:c>
      <x:c r="F7" s="223" t="str">
        <x:v>Passed</x:v>
      </x:c>
      <x:c r="G7" s="223" t="str">
        <x:v>Module-level supporting evidence; not full UC acceptance.</x:v>
      </x:c>
    </x:row>
    <x:row r="8" ht="60" customHeight="1">
      <x:c r="A8" s="223" t="str">
        <x:v>UT-004</x:v>
      </x:c>
      <x:c r="B8" s="223" t="str">
        <x:v>UC36</x:v>
      </x:c>
      <x:c r="C8" s="223" t="str">
        <x:v>SmartLibrary.UnitTests.Features.Ai.AiSettingsServiceTests.GetStatusAsync_AdminNeverSeesKeyMeta</x:v>
      </x:c>
      <x:c r="D8" s="223" t="str">
        <x:v>apps/api/tests/SmartLibrary.UnitTests/Features/Ai/AiSettingsServiceTests.cs:105</x:v>
      </x:c>
      <x:c r="E8" s="223" t="str">
        <x:v>evidence/unit.trx</x:v>
      </x:c>
      <x:c r="F8" s="223" t="str">
        <x:v>Passed</x:v>
      </x:c>
      <x:c r="G8" s="223" t="str">
        <x:v>Module-level supporting evidence; not full UC acceptance.</x:v>
      </x:c>
    </x:row>
    <x:row r="9" ht="60" customHeight="1">
      <x:c r="A9" s="223" t="str">
        <x:v>UT-005</x:v>
      </x:c>
      <x:c r="B9" s="223" t="str">
        <x:v>UC36</x:v>
      </x:c>
      <x:c r="C9" s="223" t="str">
        <x:v>SmartLibrary.UnitTests.Features.Ai.AiSettingsServiceTests.GetStatusAsync_UsesLastTestResultForActiveProviderOnly</x:v>
      </x:c>
      <x:c r="D9" s="223" t="str">
        <x:v>apps/api/tests/SmartLibrary.UnitTests/Features/Ai/AiSettingsServiceTests.cs:487</x:v>
      </x:c>
      <x:c r="E9" s="223" t="str">
        <x:v>evidence/unit.trx</x:v>
      </x:c>
      <x:c r="F9" s="223" t="str">
        <x:v>Passed</x:v>
      </x:c>
      <x:c r="G9" s="223" t="str">
        <x:v>Module-level supporting evidence; not full UC acceptance.</x:v>
      </x:c>
    </x:row>
    <x:row r="10" ht="60" customHeight="1">
      <x:c r="A10" s="223" t="str">
        <x:v>UT-006</x:v>
      </x:c>
      <x:c r="B10" s="223" t="str">
        <x:v>UC36</x:v>
      </x:c>
      <x:c r="C10" s="223" t="str">
        <x:v>SmartLibrary.UnitTests.Features.Ai.AiSettingsServiceTests.ResolveForAskAsync_ReaderUsesLibraryNotOtherLibrarian</x:v>
      </x:c>
      <x:c r="D10" s="223" t="str">
        <x:v>apps/api/tests/SmartLibrary.UnitTests/Features/Ai/AiSettingsServiceTests.cs:526</x:v>
      </x:c>
      <x:c r="E10" s="223" t="str">
        <x:v>evidence/unit.trx</x:v>
      </x:c>
      <x:c r="F10" s="223" t="str">
        <x:v>Passed</x:v>
      </x:c>
      <x:c r="G10" s="223" t="str">
        <x:v>Module-level supporting evidence; not full UC acceptance.</x:v>
      </x:c>
    </x:row>
    <x:row r="11" ht="60" customHeight="1">
      <x:c r="A11" s="223" t="str">
        <x:v>UT-007</x:v>
      </x:c>
      <x:c r="B11" s="223" t="str">
        <x:v>UC36</x:v>
      </x:c>
      <x:c r="C11" s="223" t="str">
        <x:v>SmartLibrary.UnitTests.Features.Ai.AiSettingsServiceTests.ResolveForAskAsync_WhenActiveLibrarianCredentialCannotBeDecrypted_ReturnsActionableFailure</x:v>
      </x:c>
      <x:c r="D11" s="223" t="str">
        <x:v>apps/api/tests/SmartLibrary.UnitTests/Features/Ai/AiSettingsServiceTests.cs:576</x:v>
      </x:c>
      <x:c r="E11" s="223" t="str">
        <x:v>evidence/unit.trx</x:v>
      </x:c>
      <x:c r="F11" s="223" t="str">
        <x:v>Passed</x:v>
      </x:c>
      <x:c r="G11" s="223" t="str">
        <x:v>Module-level supporting evidence; not full UC acceptance.</x:v>
      </x:c>
    </x:row>
    <x:row r="12" ht="60" customHeight="1">
      <x:c r="A12" s="223" t="str">
        <x:v>UT-008</x:v>
      </x:c>
      <x:c r="B12" s="223" t="str">
        <x:v>UC36</x:v>
      </x:c>
      <x:c r="C12" s="223" t="str">
        <x:v>SmartLibrary.UnitTests.Features.Ai.AiSettingsServiceTests.ResolveForAskAsync_WhenAdminDisablesAccount_BlocksLibrarian</x:v>
      </x:c>
      <x:c r="D12" s="223" t="str">
        <x:v>apps/api/tests/SmartLibrary.UnitTests/Features/Ai/AiSettingsServiceTests.cs:599</x:v>
      </x:c>
      <x:c r="E12" s="223" t="str">
        <x:v>evidence/unit.trx</x:v>
      </x:c>
      <x:c r="F12" s="223" t="str">
        <x:v>Passed</x:v>
      </x:c>
      <x:c r="G12" s="223" t="str">
        <x:v>Module-level supporting evidence; not full UC acceptance.</x:v>
      </x:c>
    </x:row>
    <x:row r="13" ht="60" customHeight="1">
      <x:c r="A13" s="223" t="str">
        <x:v>UT-009</x:v>
      </x:c>
      <x:c r="B13" s="223" t="str">
        <x:v>UC36</x:v>
      </x:c>
      <x:c r="C13" s="223" t="str">
        <x:v>SmartLibrary.UnitTests.Features.Ai.AiSettingsServiceTests.ResolveForAskAsync_WhenLibraryCredentialCannotBeDecrypted_ReturnsActionableFailure</x:v>
      </x:c>
      <x:c r="D13" s="223" t="str">
        <x:v>apps/api/tests/SmartLibrary.UnitTests/Features/Ai/AiSettingsServiceTests.cs:560</x:v>
      </x:c>
      <x:c r="E13" s="223" t="str">
        <x:v>evidence/unit.trx</x:v>
      </x:c>
      <x:c r="F13" s="223" t="str">
        <x:v>Passed</x:v>
      </x:c>
      <x:c r="G13" s="223" t="str">
        <x:v>Module-level supporting evidence; not full UC acceptance.</x:v>
      </x:c>
    </x:row>
    <x:row r="14" ht="60" customHeight="1">
      <x:c r="A14" s="223" t="str">
        <x:v>UT-010</x:v>
      </x:c>
      <x:c r="B14" s="223" t="str">
        <x:v>UC36</x:v>
      </x:c>
      <x:c r="C14" s="223" t="str">
        <x:v>SmartLibrary.UnitTests.Features.Ai.AiSettingsServiceTests.ResolveForAskAsync_WhenSystemOff_IgnoresPersonalKey</x:v>
      </x:c>
      <x:c r="D14" s="223" t="str">
        <x:v>apps/api/tests/SmartLibrary.UnitTests/Features/Ai/AiSettingsServiceTests.cs:618</x:v>
      </x:c>
      <x:c r="E14" s="223" t="str">
        <x:v>evidence/unit.trx</x:v>
      </x:c>
      <x:c r="F14" s="223" t="str">
        <x:v>Passed</x:v>
      </x:c>
      <x:c r="G14" s="223" t="str">
        <x:v>Module-level supporting evidence; not full UC acceptance.</x:v>
      </x:c>
    </x:row>
    <x:row r="15" ht="60" customHeight="1">
      <x:c r="A15" s="223" t="str">
        <x:v>UT-011</x:v>
      </x:c>
      <x:c r="B15" s="223" t="str">
        <x:v>UC36</x:v>
      </x:c>
      <x:c r="C15" s="223" t="str">
        <x:v>SmartLibrary.UnitTests.Features.Ai.AiSettingsServiceTests.ResolveLibraryAsync_UsesDeepSeekForChatAndGeminiForEmbeddings</x:v>
      </x:c>
      <x:c r="D15" s="223" t="str">
        <x:v>apps/api/tests/SmartLibrary.UnitTests/Features/Ai/AiSettingsServiceTests.cs:418</x:v>
      </x:c>
      <x:c r="E15" s="223" t="str">
        <x:v>evidence/unit.trx</x:v>
      </x:c>
      <x:c r="F15" s="223" t="str">
        <x:v>Passed</x:v>
      </x:c>
      <x:c r="G15" s="223" t="str">
        <x:v>Module-level supporting evidence; not full UC acceptance.</x:v>
      </x:c>
    </x:row>
    <x:row r="16" ht="60" customHeight="1">
      <x:c r="A16" s="223" t="str">
        <x:v>UT-012</x:v>
      </x:c>
      <x:c r="B16" s="223" t="str">
        <x:v>UC36</x:v>
      </x:c>
      <x:c r="C16" s="223" t="str">
        <x:v>SmartLibrary.UnitTests.Features.Ai.AiSettingsServiceTests.SaveAdminAsync_RejectsApiKey</x:v>
      </x:c>
      <x:c r="D16" s="223" t="str">
        <x:v>apps/api/tests/SmartLibrary.UnitTests/Features/Ai/AiSettingsServiceTests.cs:76</x:v>
      </x:c>
      <x:c r="E16" s="223" t="str">
        <x:v>evidence/unit.trx</x:v>
      </x:c>
      <x:c r="F16" s="223" t="str">
        <x:v>Passed</x:v>
      </x:c>
      <x:c r="G16" s="223" t="str">
        <x:v>Module-level supporting evidence; not full UC acceptance.</x:v>
      </x:c>
    </x:row>
    <x:row r="17" ht="60" customHeight="1">
      <x:c r="A17" s="223" t="str">
        <x:v>UT-013</x:v>
      </x:c>
      <x:c r="B17" s="223" t="str">
        <x:v>UC36</x:v>
      </x:c>
      <x:c r="C17" s="223" t="str">
        <x:v>SmartLibrary.UnitTests.Features.Ai.AiSettingsServiceTests.SaveAdminAsync_SavesFlagsWithoutKey</x:v>
      </x:c>
      <x:c r="D17" s="223" t="str">
        <x:v>apps/api/tests/SmartLibrary.UnitTests/Features/Ai/AiSettingsServiceTests.cs:89</x:v>
      </x:c>
      <x:c r="E17" s="223" t="str">
        <x:v>evidence/unit.trx</x:v>
      </x:c>
      <x:c r="F17" s="223" t="str">
        <x:v>Passed</x:v>
      </x:c>
      <x:c r="G17" s="223" t="str">
        <x:v>Module-level supporting evidence; not full UC acceptance.</x:v>
      </x:c>
    </x:row>
    <x:row r="18" ht="60" customHeight="1">
      <x:c r="A18" s="223" t="str">
        <x:v>UT-014</x:v>
      </x:c>
      <x:c r="B18" s="223" t="str">
        <x:v>UC36</x:v>
      </x:c>
      <x:c r="C18" s="223" t="str">
        <x:v>SmartLibrary.UnitTests.Features.Ai.AiSettingsServiceTests.SaveAdminAsync_WhenLibrarian_ReturnsForbidden</x:v>
      </x:c>
      <x:c r="D18" s="223" t="str">
        <x:v>apps/api/tests/SmartLibrary.UnitTests/Features/Ai/AiSettingsServiceTests.cs:63</x:v>
      </x:c>
      <x:c r="E18" s="223" t="str">
        <x:v>evidence/unit.trx</x:v>
      </x:c>
      <x:c r="F18" s="223" t="str">
        <x:v>Passed</x:v>
      </x:c>
      <x:c r="G18" s="223" t="str">
        <x:v>Module-level supporting evidence; not full UC acceptance.</x:v>
      </x:c>
    </x:row>
    <x:row r="19" ht="60" customHeight="1">
      <x:c r="A19" s="223" t="str">
        <x:v>UT-015</x:v>
      </x:c>
      <x:c r="B19" s="223" t="str">
        <x:v>UC36</x:v>
      </x:c>
      <x:c r="C19" s="223" t="str">
        <x:v>SmartLibrary.UnitTests.Features.Ai.AiSettingsServiceTests.SaveLibrarianAsync_DoesNotWriteApiKey</x:v>
      </x:c>
      <x:c r="D19" s="223" t="str">
        <x:v>apps/api/tests/SmartLibrary.UnitTests/Features/Ai/AiSettingsServiceTests.cs:228</x:v>
      </x:c>
      <x:c r="E19" s="223" t="str">
        <x:v>evidence/unit.trx</x:v>
      </x:c>
      <x:c r="F19" s="223" t="str">
        <x:v>Passed</x:v>
      </x:c>
      <x:c r="G19" s="223" t="str">
        <x:v>Module-level supporting evidence; not full UC acceptance.</x:v>
      </x:c>
    </x:row>
    <x:row r="20" ht="60" customHeight="1">
      <x:c r="A20" s="223" t="str">
        <x:v>UT-016</x:v>
      </x:c>
      <x:c r="B20" s="223" t="str">
        <x:v>UC36</x:v>
      </x:c>
      <x:c r="C20" s="223" t="str">
        <x:v>SmartLibrary.UnitTests.Features.Ai.AiSettingsServiceTests.SaveLibrarianAsync_WhenEnablingService_ReturnsForbidden</x:v>
      </x:c>
      <x:c r="D20" s="223" t="str">
        <x:v>apps/api/tests/SmartLibrary.UnitTests/Features/Ai/AiSettingsServiceTests.cs:247</x:v>
      </x:c>
      <x:c r="E20" s="223" t="str">
        <x:v>evidence/unit.trx</x:v>
      </x:c>
      <x:c r="F20" s="223" t="str">
        <x:v>Passed</x:v>
      </x:c>
      <x:c r="G20" s="223" t="str">
        <x:v>Module-level supporting evidence; not full UC acceptance.</x:v>
      </x:c>
    </x:row>
    <x:row r="21" ht="60" customHeight="1">
      <x:c r="A21" s="223" t="str">
        <x:v>UT-017</x:v>
      </x:c>
      <x:c r="B21" s="223" t="str">
        <x:v>UC36</x:v>
      </x:c>
      <x:c r="C21" s="223" t="str">
        <x:v>SmartLibrary.UnitTests.Features.Ai.AiSettingsServiceTests.SaveMyProviderAsync_AllowsOnnxEmbeddingWithoutAnEmbeddingApiKey</x:v>
      </x:c>
      <x:c r="D21" s="223" t="str">
        <x:v>apps/api/tests/SmartLibrary.UnitTests/Features/Ai/AiSettingsServiceTests.cs:191</x:v>
      </x:c>
      <x:c r="E21" s="223" t="str">
        <x:v>evidence/unit.trx</x:v>
      </x:c>
      <x:c r="F21" s="223" t="str">
        <x:v>Passed</x:v>
      </x:c>
      <x:c r="G21" s="223" t="str">
        <x:v>Module-level supporting evidence; not full UC acceptance.</x:v>
      </x:c>
    </x:row>
    <x:row r="22" ht="60" customHeight="1">
      <x:c r="A22" s="223" t="str">
        <x:v>UT-018</x:v>
      </x:c>
      <x:c r="B22" s="223" t="str">
        <x:v>UC36</x:v>
      </x:c>
      <x:c r="C22" s="223" t="str">
        <x:v>SmartLibrary.UnitTests.Features.Ai.AiSettingsServiceTests.SaveMyProviderAsync_IsolatesLibrarianKeys</x:v>
      </x:c>
      <x:c r="D22" s="223" t="str">
        <x:v>apps/api/tests/SmartLibrary.UnitTests/Features/Ai/AiSettingsServiceTests.cs:140</x:v>
      </x:c>
      <x:c r="E22" s="223" t="str">
        <x:v>evidence/unit.trx</x:v>
      </x:c>
      <x:c r="F22" s="223" t="str">
        <x:v>Passed</x:v>
      </x:c>
      <x:c r="G22" s="223" t="str">
        <x:v>Module-level supporting evidence; not full UC acceptance.</x:v>
      </x:c>
    </x:row>
    <x:row r="23" ht="60" customHeight="1">
      <x:c r="A23" s="223" t="str">
        <x:v>UT-019</x:v>
      </x:c>
      <x:c r="B23" s="223" t="str">
        <x:v>UC36</x:v>
      </x:c>
      <x:c r="C23" s="223" t="str">
        <x:v>SmartLibrary.UnitTests.Features.Ai.AiSettingsServiceTests.SaveMyProviderAsync_UsesOllamaAndLocalEmbeddingWithoutApiKey</x:v>
      </x:c>
      <x:c r="D23" s="223" t="str">
        <x:v>apps/api/tests/SmartLibrary.UnitTests/Features/Ai/AiSettingsServiceTests.cs:363</x:v>
      </x:c>
      <x:c r="E23" s="223" t="str">
        <x:v>evidence/unit.trx</x:v>
      </x:c>
      <x:c r="F23" s="223" t="str">
        <x:v>Passed</x:v>
      </x:c>
      <x:c r="G23" s="223" t="str">
        <x:v>Module-level supporting evidence; not full UC acceptance.</x:v>
      </x:c>
    </x:row>
    <x:row r="24" ht="60" customHeight="1">
      <x:c r="A24" s="223" t="str">
        <x:v>UT-020</x:v>
      </x:c>
      <x:c r="B24" s="223" t="str">
        <x:v>UC36</x:v>
      </x:c>
      <x:c r="C24" s="223" t="str">
        <x:v>SmartLibrary.UnitTests.Features.Ai.AiSettingsServiceTests.SaveMyProviderAsync_WhenAdmin_ReturnsForbidden</x:v>
      </x:c>
      <x:c r="D24" s="223" t="str">
        <x:v>apps/api/tests/SmartLibrary.UnitTests/Features/Ai/AiSettingsServiceTests.cs:215</x:v>
      </x:c>
      <x:c r="E24" s="223" t="str">
        <x:v>evidence/unit.trx</x:v>
      </x:c>
      <x:c r="F24" s="223" t="str">
        <x:v>Passed</x:v>
      </x:c>
      <x:c r="G24" s="223" t="str">
        <x:v>Module-level supporting evidence; not full UC acceptance.</x:v>
      </x:c>
    </x:row>
    <x:row r="25" ht="60" customHeight="1">
      <x:c r="A25" s="223" t="str">
        <x:v>UT-021</x:v>
      </x:c>
      <x:c r="B25" s="223" t="str">
        <x:v>UC36</x:v>
      </x:c>
      <x:c r="C25" s="223" t="str">
        <x:v>SmartLibrary.UnitTests.Features.Ai.AiSettingsServiceTests.SaveMyProviderAsync_WhenClaudeForLibrary_UsesLocalEmbedding</x:v>
      </x:c>
      <x:c r="D25" s="223" t="str">
        <x:v>apps/api/tests/SmartLibrary.UnitTests/Features/Ai/AiSettingsServiceTests.cs:656</x:v>
      </x:c>
      <x:c r="E25" s="223" t="str">
        <x:v>evidence/unit.trx</x:v>
      </x:c>
      <x:c r="F25" s="223" t="str">
        <x:v>Passed</x:v>
      </x:c>
      <x:c r="G25" s="223" t="str">
        <x:v>Module-level supporting evidence; not full UC acceptance.</x:v>
      </x:c>
    </x:row>
    <x:row r="26" ht="60" customHeight="1">
      <x:c r="A26" s="223" t="str">
        <x:v>UT-022</x:v>
      </x:c>
      <x:c r="B26" s="223" t="str">
        <x:v>UC36</x:v>
      </x:c>
      <x:c r="C26" s="223" t="str">
        <x:v>SmartLibrary.UnitTests.Features.Ai.AiSettingsServiceTests.SetLibrarianAccountEnabledAsync_ClearsLibraryActive</x:v>
      </x:c>
      <x:c r="D26" s="223" t="str">
        <x:v>apps/api/tests/SmartLibrary.UnitTests/Features/Ai/AiSettingsServiceTests.cs:637</x:v>
      </x:c>
      <x:c r="E26" s="223" t="str">
        <x:v>evidence/unit.trx</x:v>
      </x:c>
      <x:c r="F26" s="223" t="str">
        <x:v>Passed</x:v>
      </x:c>
      <x:c r="G26" s="223" t="str">
        <x:v>Module-level supporting evidence; not full UC acceptance.</x:v>
      </x:c>
    </x:row>
    <x:row r="27" ht="60" customHeight="1">
      <x:c r="A27" s="223" t="str">
        <x:v>UT-023</x:v>
      </x:c>
      <x:c r="B27" s="223" t="str">
        <x:v>UC36</x:v>
      </x:c>
      <x:c r="C27" s="223" t="str">
        <x:v>SmartLibrary.UnitTests.Features.Ai.AiSettingsServiceTests.TestConnectionAsync_InvalidKey_ReturnsVendorError</x:v>
      </x:c>
      <x:c r="D27" s="223" t="str">
        <x:v>apps/api/tests/SmartLibrary.UnitTests/Features/Ai/AiSettingsServiceTests.cs:457</x:v>
      </x:c>
      <x:c r="E27" s="223" t="str">
        <x:v>evidence/unit.trx</x:v>
      </x:c>
      <x:c r="F27" s="223" t="str">
        <x:v>Passed</x:v>
      </x:c>
      <x:c r="G27" s="223" t="str">
        <x:v>Module-level supporting evidence; not full UC acceptance.</x:v>
      </x:c>
    </x:row>
    <x:row r="28" ht="60" customHeight="1">
      <x:c r="A28" s="223" t="str">
        <x:v>UT-024</x:v>
      </x:c>
      <x:c r="B28" s="223" t="str">
        <x:v>UC36</x:v>
      </x:c>
      <x:c r="C28" s="223" t="str">
        <x:v>SmartLibrary.UnitTests.Features.Ai.AiSettingsServiceTests.TestConnectionAsync_LibrarianUsesOwnKeyAndModel</x:v>
      </x:c>
      <x:c r="D28" s="223" t="str">
        <x:v>apps/api/tests/SmartLibrary.UnitTests/Features/Ai/AiSettingsServiceTests.cs:279</x:v>
      </x:c>
      <x:c r="E28" s="223" t="str">
        <x:v>evidence/unit.trx</x:v>
      </x:c>
      <x:c r="F28" s="223" t="str">
        <x:v>Passed</x:v>
      </x:c>
      <x:c r="G28" s="223" t="str">
        <x:v>Module-level supporting evidence; not full UC acceptance.</x:v>
      </x:c>
    </x:row>
    <x:row r="29" ht="60" customHeight="1">
      <x:c r="A29" s="223" t="str">
        <x:v>UT-025</x:v>
      </x:c>
      <x:c r="B29" s="223" t="str">
        <x:v>UC36</x:v>
      </x:c>
      <x:c r="C29" s="223" t="str">
        <x:v>SmartLibrary.UnitTests.Features.Ai.AiSettingsServiceTests.TestConnectionAsync_LibrarianWithoutKey_ReturnsNotConfigured</x:v>
      </x:c>
      <x:c r="D29" s="223" t="str">
        <x:v>apps/api/tests/SmartLibrary.UnitTests/Features/Ai/AiSettingsServiceTests.cs:263</x:v>
      </x:c>
      <x:c r="E29" s="223" t="str">
        <x:v>evidence/unit.trx</x:v>
      </x:c>
      <x:c r="F29" s="223" t="str">
        <x:v>Passed</x:v>
      </x:c>
      <x:c r="G29" s="223" t="str">
        <x:v>Module-level supporting evidence; not full UC acceptance.</x:v>
      </x:c>
    </x:row>
    <x:row r="30" ht="60" customHeight="1">
      <x:c r="A30" s="223" t="str">
        <x:v>UT-026</x:v>
      </x:c>
      <x:c r="B30" s="223" t="str">
        <x:v>UC36</x:v>
      </x:c>
      <x:c r="C30" s="223" t="str">
        <x:v>SmartLibrary.UnitTests.Features.Ai.AiSettingsServiceTests.TestConnectionAsync_UsesLocalEmbeddingAlongsideDeepSeekChat</x:v>
      </x:c>
      <x:c r="D30" s="223" t="str">
        <x:v>apps/api/tests/SmartLibrary.UnitTests/Features/Ai/AiSettingsServiceTests.cs:317</x:v>
      </x:c>
      <x:c r="E30" s="223" t="str">
        <x:v>evidence/unit.trx</x:v>
      </x:c>
      <x:c r="F30" s="223" t="str">
        <x:v>Passed</x:v>
      </x:c>
      <x:c r="G30" s="223" t="str">
        <x:v>Module-level supporting evidence; not full UC acceptance.</x:v>
      </x:c>
    </x:row>
    <x:row r="31" ht="60" customHeight="1">
      <x:c r="A31" s="223" t="str">
        <x:v>UT-027</x:v>
      </x:c>
      <x:c r="B31" s="223" t="str">
        <x:v>UC01</x:v>
      </x:c>
      <x:c r="C31" s="223" t="str">
        <x:v>SmartLibrary.UnitTests.Features.Auth.RegisterCommandValidatorTests.Validate_WhenPasswordsDoNotMatch_RejectsConfirmation</x:v>
      </x:c>
      <x:c r="D31" s="223" t="str">
        <x:v>apps/api/tests/SmartLibrary.UnitTests/Features/Auth/RegisterCommandValidatorTests.cs:31</x:v>
      </x:c>
      <x:c r="E31" s="223" t="str">
        <x:v>evidence/unit.trx</x:v>
      </x:c>
      <x:c r="F31" s="223" t="str">
        <x:v>Passed</x:v>
      </x:c>
      <x:c r="G31" s="223" t="str">
        <x:v>Module-level supporting evidence; not full UC acceptance.</x:v>
      </x:c>
    </x:row>
    <x:row r="32" ht="60" customHeight="1">
      <x:c r="A32" s="223" t="str">
        <x:v>UT-028</x:v>
      </x:c>
      <x:c r="B32" s="223" t="str">
        <x:v>UC01</x:v>
      </x:c>
      <x:c r="C32" s="223" t="str">
        <x:v>SmartLibrary.UnitTests.Features.Auth.RegisterCommandValidatorTests.Validate_WithAnyNonEmptyMatchingPassword_AcceptsPassword(password: "  password with spaces  ")</x:v>
      </x:c>
      <x:c r="D32" s="223" t="str">
        <x:v>apps/api/tests/SmartLibrary.UnitTests/Features/Auth/RegisterCommandValidatorTests.cs:14</x:v>
      </x:c>
      <x:c r="E32" s="223" t="str">
        <x:v>evidence/unit.trx</x:v>
      </x:c>
      <x:c r="F32" s="223" t="str">
        <x:v>Passed</x:v>
      </x:c>
      <x:c r="G32" s="223" t="str">
        <x:v>Module-level supporting evidence; not full UC acceptance.</x:v>
      </x:c>
    </x:row>
    <x:row r="33" ht="60" customHeight="1">
      <x:c r="A33" s="223" t="str">
        <x:v>UT-029</x:v>
      </x:c>
      <x:c r="B33" s="223" t="str">
        <x:v>UC01</x:v>
      </x:c>
      <x:c r="C33" s="223" t="str">
        <x:v>SmartLibrary.UnitTests.Features.Auth.RegisterCommandValidatorTests.Validate_WithAnyNonEmptyMatchingPassword_AcceptsPassword(password: "1")</x:v>
      </x:c>
      <x:c r="D33" s="223" t="str">
        <x:v>apps/api/tests/SmartLibrary.UnitTests/Features/Auth/RegisterCommandValidatorTests.cs:14</x:v>
      </x:c>
      <x:c r="E33" s="223" t="str">
        <x:v>evidence/unit.trx</x:v>
      </x:c>
      <x:c r="F33" s="223" t="str">
        <x:v>Passed</x:v>
      </x:c>
      <x:c r="G33" s="223" t="str">
        <x:v>Module-level supporting evidence; not full UC acceptance.</x:v>
      </x:c>
    </x:row>
    <x:row r="34" ht="60" customHeight="1">
      <x:c r="A34" s="223" t="str">
        <x:v>UT-030</x:v>
      </x:c>
      <x:c r="B34" s="223" t="str">
        <x:v>UC01</x:v>
      </x:c>
      <x:c r="C34" s="223" t="str">
        <x:v>SmartLibrary.UnitTests.Features.Auth.RegisterCommandValidatorTests.Validate_WithAnyNonEmptyMatchingPassword_AcceptsPassword(password: "simple")</x:v>
      </x:c>
      <x:c r="D34" s="223" t="str">
        <x:v>apps/api/tests/SmartLibrary.UnitTests/Features/Auth/RegisterCommandValidatorTests.cs:14</x:v>
      </x:c>
      <x:c r="E34" s="223" t="str">
        <x:v>evidence/unit.trx</x:v>
      </x:c>
      <x:c r="F34" s="223" t="str">
        <x:v>Passed</x:v>
      </x:c>
      <x:c r="G34" s="223" t="str">
        <x:v>Module-level supporting evidence; not full UC acceptance.</x:v>
      </x:c>
    </x:row>
    <x:row r="35" ht="60" customHeight="1">
      <x:c r="A35" s="223" t="str">
        <x:v>UT-031</x:v>
      </x:c>
      <x:c r="B35" s="223" t="str">
        <x:v>UC06, UC40</x:v>
      </x:c>
      <x:c r="C35" s="223" t="str">
        <x:v>SmartLibrary.UnitTests.Features.Books.BookKeywordRankerTests.ShortPrefix_DoesNotMatchAnUnrelatedBook</x:v>
      </x:c>
      <x:c r="D35" s="223" t="str">
        <x:v>apps/api/tests/SmartLibrary.UnitTests/Features/Books/BookKeywordRankerTests.cs:27</x:v>
      </x:c>
      <x:c r="E35" s="223" t="str">
        <x:v>evidence/unit.trx</x:v>
      </x:c>
      <x:c r="F35" s="223" t="str">
        <x:v>Passed</x:v>
      </x:c>
      <x:c r="G35" s="223" t="str">
        <x:v>Module-level supporting evidence; not full UC acceptance.</x:v>
      </x:c>
    </x:row>
    <x:row r="36" ht="60" customHeight="1">
      <x:c r="A36" s="223" t="str">
        <x:v>UT-032</x:v>
      </x:c>
      <x:c r="B36" s="223" t="str">
        <x:v>UC06, UC40</x:v>
      </x:c>
      <x:c r="C36" s="223" t="str">
        <x:v>SmartLibrary.UnitTests.Features.Books.BookKeywordRankerTests.ShortTitlePrefixes_ReturnMatchingBooks(query: "P")</x:v>
      </x:c>
      <x:c r="D36" s="223" t="str">
        <x:v>apps/api/tests/SmartLibrary.UnitTests/Features/Books/BookKeywordRankerTests.cs:12</x:v>
      </x:c>
      <x:c r="E36" s="223" t="str">
        <x:v>evidence/unit.trx</x:v>
      </x:c>
      <x:c r="F36" s="223" t="str">
        <x:v>Passed</x:v>
      </x:c>
      <x:c r="G36" s="223" t="str">
        <x:v>Module-level supporting evidence; not full UC acceptance.</x:v>
      </x:c>
    </x:row>
    <x:row r="37" ht="60" customHeight="1">
      <x:c r="A37" s="223" t="str">
        <x:v>UT-033</x:v>
      </x:c>
      <x:c r="B37" s="223" t="str">
        <x:v>UC06, UC40</x:v>
      </x:c>
      <x:c r="C37" s="223" t="str">
        <x:v>SmartLibrary.UnitTests.Features.Books.BookKeywordRankerTests.ShortTitlePrefixes_ReturnMatchingBooks(query: "Py")</x:v>
      </x:c>
      <x:c r="D37" s="223" t="str">
        <x:v>apps/api/tests/SmartLibrary.UnitTests/Features/Books/BookKeywordRankerTests.cs:12</x:v>
      </x:c>
      <x:c r="E37" s="223" t="str">
        <x:v>evidence/unit.trx</x:v>
      </x:c>
      <x:c r="F37" s="223" t="str">
        <x:v>Passed</x:v>
      </x:c>
      <x:c r="G37" s="223" t="str">
        <x:v>Module-level supporting evidence; not full UC acceptance.</x:v>
      </x:c>
    </x:row>
    <x:row r="38" ht="60" customHeight="1">
      <x:c r="A38" s="223" t="str">
        <x:v>UT-034</x:v>
      </x:c>
      <x:c r="B38" s="223" t="str">
        <x:v>UC06, UC40</x:v>
      </x:c>
      <x:c r="C38" s="223" t="str">
        <x:v>SmartLibrary.UnitTests.Features.Books.BookKeywordRankerTests.ShortTitlePrefixes_ReturnMatchingBooks(query: "Pyt")</x:v>
      </x:c>
      <x:c r="D38" s="223" t="str">
        <x:v>apps/api/tests/SmartLibrary.UnitTests/Features/Books/BookKeywordRankerTests.cs:12</x:v>
      </x:c>
      <x:c r="E38" s="223" t="str">
        <x:v>evidence/unit.trx</x:v>
      </x:c>
      <x:c r="F38" s="223" t="str">
        <x:v>Passed</x:v>
      </x:c>
      <x:c r="G38" s="223" t="str">
        <x:v>Module-level supporting evidence; not full UC acceptance.</x:v>
      </x:c>
    </x:row>
    <x:row r="39" ht="60" customHeight="1">
      <x:c r="A39" s="223" t="str">
        <x:v>UT-035</x:v>
      </x:c>
      <x:c r="B39" s="223" t="str">
        <x:v>UC04, UC05, UC28</x:v>
      </x:c>
      <x:c r="C39" s="223" t="str">
        <x:v>SmartLibrary.UnitTests.Features.Books.BookServiceTests.CreateAsync_WithValidRequest_ReturnsCreatedBook</x:v>
      </x:c>
      <x:c r="D39" s="223" t="str">
        <x:v>apps/api/tests/SmartLibrary.UnitTests/Features/Books/BookServiceTests.cs:84</x:v>
      </x:c>
      <x:c r="E39" s="223" t="str">
        <x:v>evidence/unit.trx</x:v>
      </x:c>
      <x:c r="F39" s="223" t="str">
        <x:v>Passed</x:v>
      </x:c>
      <x:c r="G39" s="223" t="str">
        <x:v>Module-level supporting evidence; not full UC acceptance.</x:v>
      </x:c>
    </x:row>
    <x:row r="40" ht="60" customHeight="1">
      <x:c r="A40" s="223" t="str">
        <x:v>UT-036</x:v>
      </x:c>
      <x:c r="B40" s="223" t="str">
        <x:v>UC04, UC05, UC28</x:v>
      </x:c>
      <x:c r="C40" s="223" t="str">
        <x:v>SmartLibrary.UnitTests.Features.Books.BookServiceTests.DeleteAsync_WhenBookExists_SoftDeletesAndReturnsSuccess</x:v>
      </x:c>
      <x:c r="D40" s="223" t="str">
        <x:v>apps/api/tests/SmartLibrary.UnitTests/Features/Books/BookServiceTests.cs:113</x:v>
      </x:c>
      <x:c r="E40" s="223" t="str">
        <x:v>evidence/unit.trx</x:v>
      </x:c>
      <x:c r="F40" s="223" t="str">
        <x:v>Passed</x:v>
      </x:c>
      <x:c r="G40" s="223" t="str">
        <x:v>Module-level supporting evidence; not full UC acceptance.</x:v>
      </x:c>
    </x:row>
    <x:row r="41" ht="60" customHeight="1">
      <x:c r="A41" s="223" t="str">
        <x:v>UT-037</x:v>
      </x:c>
      <x:c r="B41" s="223" t="str">
        <x:v>UC04, UC05, UC28</x:v>
      </x:c>
      <x:c r="C41" s="223" t="str">
        <x:v>SmartLibrary.UnitTests.Features.Books.BookServiceTests.GetByIdAsync_WhenBookDoesNotExist_ReturnsFailure</x:v>
      </x:c>
      <x:c r="D41" s="223" t="str">
        <x:v>apps/api/tests/SmartLibrary.UnitTests/Features/Books/BookServiceTests.cs:67</x:v>
      </x:c>
      <x:c r="E41" s="223" t="str">
        <x:v>evidence/unit.trx</x:v>
      </x:c>
      <x:c r="F41" s="223" t="str">
        <x:v>Passed</x:v>
      </x:c>
      <x:c r="G41" s="223" t="str">
        <x:v>Module-level supporting evidence; not full UC acceptance.</x:v>
      </x:c>
    </x:row>
    <x:row r="42" ht="60" customHeight="1">
      <x:c r="A42" s="223" t="str">
        <x:v>UT-038</x:v>
      </x:c>
      <x:c r="B42" s="223" t="str">
        <x:v>UC04, UC05, UC28</x:v>
      </x:c>
      <x:c r="C42" s="223" t="str">
        <x:v>SmartLibrary.UnitTests.Features.Books.BookServiceTests.GetByIdAsync_WhenBookExists_ReturnsSuccess</x:v>
      </x:c>
      <x:c r="D42" s="223" t="str">
        <x:v>apps/api/tests/SmartLibrary.UnitTests/Features/Books/BookServiceTests.cs:38</x:v>
      </x:c>
      <x:c r="E42" s="223" t="str">
        <x:v>evidence/unit.trx</x:v>
      </x:c>
      <x:c r="F42" s="223" t="str">
        <x:v>Passed</x:v>
      </x:c>
      <x:c r="G42" s="223" t="str">
        <x:v>Module-level supporting evidence; not full UC acceptance.</x:v>
      </x:c>
    </x:row>
    <x:row r="43" ht="60" customHeight="1">
      <x:c r="A43" s="223" t="str">
        <x:v>UT-039</x:v>
      </x:c>
      <x:c r="B43" s="223" t="str">
        <x:v>UC08, UC09, UC10, UC23, UC24, UC25, UC26, UC30</x:v>
      </x:c>
      <x:c r="C43" s="223" t="str">
        <x:v>SmartLibrary.UnitTests.Features.Circulation.CirculationRulesTests.BorrowDays_PrefersAdminMaxDays</x:v>
      </x:c>
      <x:c r="D43" s="223" t="str">
        <x:v>apps/api/tests/SmartLibrary.UnitTests/Features/Circulation/CirculationRulesTests.cs:223</x:v>
      </x:c>
      <x:c r="E43" s="223" t="str">
        <x:v>evidence/unit.trx</x:v>
      </x:c>
      <x:c r="F43" s="223" t="str">
        <x:v>Passed</x:v>
      </x:c>
      <x:c r="G43" s="223" t="str">
        <x:v>Module-level supporting evidence; not full UC acceptance.</x:v>
      </x:c>
    </x:row>
    <x:row r="44" ht="60" customHeight="1">
      <x:c r="A44" s="223" t="str">
        <x:v>UT-040</x:v>
      </x:c>
      <x:c r="B44" s="223" t="str">
        <x:v>UC08, UC09, UC10, UC23, UC24, UC25, UC26, UC30</x:v>
      </x:c>
      <x:c r="C44" s="223" t="str">
        <x:v>SmartLibrary.UnitTests.Features.Circulation.CirculationRulesTests.BorrowDays_UsesLanguageWhenMaxDaysUnset</x:v>
      </x:c>
      <x:c r="D44" s="223" t="str">
        <x:v>apps/api/tests/SmartLibrary.UnitTests/Features/Circulation/CirculationRulesTests.cs:231</x:v>
      </x:c>
      <x:c r="E44" s="223" t="str">
        <x:v>evidence/unit.trx</x:v>
      </x:c>
      <x:c r="F44" s="223" t="str">
        <x:v>Passed</x:v>
      </x:c>
      <x:c r="G44" s="223" t="str">
        <x:v>Module-level supporting evidence; not full UC acceptance.</x:v>
      </x:c>
    </x:row>
    <x:row r="45" ht="60" customHeight="1">
      <x:c r="A45" s="223" t="str">
        <x:v>UT-041</x:v>
      </x:c>
      <x:c r="B45" s="223" t="str">
        <x:v>UC08, UC09, UC10, UC23, UC24, UC25, UC26, UC30</x:v>
      </x:c>
      <x:c r="C45" s="223" t="str">
        <x:v>SmartLibrary.UnitTests.Features.Circulation.CirculationRulesTests.CalendarOverdueDays_NextLibraryDay_IsOne</x:v>
      </x:c>
      <x:c r="D45" s="223" t="str">
        <x:v>apps/api/tests/SmartLibrary.UnitTests/Features/Circulation/CirculationRulesTests.cs:36</x:v>
      </x:c>
      <x:c r="E45" s="223" t="str">
        <x:v>evidence/unit.trx</x:v>
      </x:c>
      <x:c r="F45" s="223" t="str">
        <x:v>Passed</x:v>
      </x:c>
      <x:c r="G45" s="223" t="str">
        <x:v>Module-level supporting evidence; not full UC acceptance.</x:v>
      </x:c>
    </x:row>
    <x:row r="46" ht="60" customHeight="1">
      <x:c r="A46" s="223" t="str">
        <x:v>UT-042</x:v>
      </x:c>
      <x:c r="B46" s="223" t="str">
        <x:v>UC08, UC09, UC10, UC23, UC24, UC25, UC26, UC30</x:v>
      </x:c>
      <x:c r="C46" s="223" t="str">
        <x:v>SmartLibrary.UnitTests.Features.Circulation.CirculationRulesTests.CalendarOverdueDays_OnTimeOrEarly_IsZero</x:v>
      </x:c>
      <x:c r="D46" s="223" t="str">
        <x:v>apps/api/tests/SmartLibrary.UnitTests/Features/Circulation/CirculationRulesTests.cs:11</x:v>
      </x:c>
      <x:c r="E46" s="223" t="str">
        <x:v>evidence/unit.trx</x:v>
      </x:c>
      <x:c r="F46" s="223" t="str">
        <x:v>Passed</x:v>
      </x:c>
      <x:c r="G46" s="223" t="str">
        <x:v>Module-level supporting evidence; not full UC acceptance.</x:v>
      </x:c>
    </x:row>
    <x:row r="47" ht="60" customHeight="1">
      <x:c r="A47" s="223" t="str">
        <x:v>UT-043</x:v>
      </x:c>
      <x:c r="B47" s="223" t="str">
        <x:v>UC08, UC09, UC10, UC23, UC24, UC25, UC26, UC30</x:v>
      </x:c>
      <x:c r="C47" s="223" t="str">
        <x:v>SmartLibrary.UnitTests.Features.Circulation.CirculationRulesTests.CalendarOverdueDays_ReturnOnDueDate_IsZero</x:v>
      </x:c>
      <x:c r="D47" s="223" t="str">
        <x:v>apps/api/tests/SmartLibrary.UnitTests/Features/Circulation/CirculationRulesTests.cs:27</x:v>
      </x:c>
      <x:c r="E47" s="223" t="str">
        <x:v>evidence/unit.trx</x:v>
      </x:c>
      <x:c r="F47" s="223" t="str">
        <x:v>Passed</x:v>
      </x:c>
      <x:c r="G47" s="223" t="str">
        <x:v>Module-level supporting evidence; not full UC acceptance.</x:v>
      </x:c>
    </x:row>
    <x:row r="48" ht="60" customHeight="1">
      <x:c r="A48" s="223" t="str">
        <x:v>UT-044</x:v>
      </x:c>
      <x:c r="B48" s="223" t="str">
        <x:v>UC08, UC09, UC10, UC23, UC24, UC25, UC26, UC30</x:v>
      </x:c>
      <x:c r="C48" s="223" t="str">
        <x:v>SmartLibrary.UnitTests.Features.Circulation.CirculationRulesTests.CalendarOverdueDays_UsesLibraryCalendarDate</x:v>
      </x:c>
      <x:c r="D48" s="223" t="str">
        <x:v>apps/api/tests/SmartLibrary.UnitTests/Features/Circulation/CirculationRulesTests.cs:19</x:v>
      </x:c>
      <x:c r="E48" s="223" t="str">
        <x:v>evidence/unit.trx</x:v>
      </x:c>
      <x:c r="F48" s="223" t="str">
        <x:v>Passed</x:v>
      </x:c>
      <x:c r="G48" s="223" t="str">
        <x:v>Module-level supporting evidence; not full UC acceptance.</x:v>
      </x:c>
    </x:row>
    <x:row r="49" ht="60" customHeight="1">
      <x:c r="A49" s="223" t="str">
        <x:v>UT-045</x:v>
      </x:c>
      <x:c r="B49" s="223" t="str">
        <x:v>UC08, UC09, UC10, UC23, UC24, UC25, UC26, UC30</x:v>
      </x:c>
      <x:c r="C49" s="223" t="str">
        <x:v>SmartLibrary.UnitTests.Features.Circulation.CirculationRulesTests.CalendarOverdueDays_VietnamMidnightBoundary</x:v>
      </x:c>
      <x:c r="D49" s="223" t="str">
        <x:v>apps/api/tests/SmartLibrary.UnitTests/Features/Circulation/CirculationRulesTests.cs:45</x:v>
      </x:c>
      <x:c r="E49" s="223" t="str">
        <x:v>evidence/unit.trx</x:v>
      </x:c>
      <x:c r="F49" s="223" t="str">
        <x:v>Passed</x:v>
      </x:c>
      <x:c r="G49" s="223" t="str">
        <x:v>Module-level supporting evidence; not full UC acceptance.</x:v>
      </x:c>
    </x:row>
    <x:row r="50" ht="60" customHeight="1">
      <x:c r="A50" s="223" t="str">
        <x:v>UT-046</x:v>
      </x:c>
      <x:c r="B50" s="223" t="str">
        <x:v>UC08, UC09, UC10, UC23, UC24, UC25, UC26, UC30</x:v>
      </x:c>
      <x:c r="C50" s="223" t="str">
        <x:v>SmartLibrary.UnitTests.Features.Circulation.CirculationRulesTests.IsTextbook_DetectsVietnameseCategory</x:v>
      </x:c>
      <x:c r="D50" s="223" t="str">
        <x:v>apps/api/tests/SmartLibrary.UnitTests/Features/Circulation/CirculationRulesTests.cs:239</x:v>
      </x:c>
      <x:c r="E50" s="223" t="str">
        <x:v>evidence/unit.trx</x:v>
      </x:c>
      <x:c r="F50" s="223" t="str">
        <x:v>Passed</x:v>
      </x:c>
      <x:c r="G50" s="223" t="str">
        <x:v>Module-level supporting evidence; not full UC acceptance.</x:v>
      </x:c>
    </x:row>
    <x:row r="51" ht="60" customHeight="1">
      <x:c r="A51" s="223" t="str">
        <x:v>UT-047</x:v>
      </x:c>
      <x:c r="B51" s="223" t="str">
        <x:v>UC08, UC09, UC10, UC23, UC24, UC25, UC26, UC30</x:v>
      </x:c>
      <x:c r="C51" s="223" t="str">
        <x:v>SmartLibrary.UnitTests.Features.Circulation.CirculationRulesTests.IsUnexpiredReadyHold_IgnoresExpiredPickupWindow</x:v>
      </x:c>
      <x:c r="D51" s="223" t="str">
        <x:v>apps/api/tests/SmartLibrary.UnitTests/Features/Circulation/CirculationRulesTests.cs:102</x:v>
      </x:c>
      <x:c r="E51" s="223" t="str">
        <x:v>evidence/unit.trx</x:v>
      </x:c>
      <x:c r="F51" s="223" t="str">
        <x:v>Passed</x:v>
      </x:c>
      <x:c r="G51" s="223" t="str">
        <x:v>Module-level supporting evidence; not full UC acceptance.</x:v>
      </x:c>
    </x:row>
    <x:row r="52" ht="60" customHeight="1">
      <x:c r="A52" s="223" t="str">
        <x:v>UT-048</x:v>
      </x:c>
      <x:c r="B52" s="223" t="str">
        <x:v>UC08, UC09, UC10, UC23, UC24, UC25, UC26, UC30</x:v>
      </x:c>
      <x:c r="C52" s="223" t="str">
        <x:v>SmartLibrary.UnitTests.Features.Circulation.CirculationRulesTests.MaxBooksFor_UsesGroupThenFallback</x:v>
      </x:c>
      <x:c r="D52" s="223" t="str">
        <x:v>apps/api/tests/SmartLibrary.UnitTests/Features/Circulation/CirculationRulesTests.cs:213</x:v>
      </x:c>
      <x:c r="E52" s="223" t="str">
        <x:v>evidence/unit.trx</x:v>
      </x:c>
      <x:c r="F52" s="223" t="str">
        <x:v>Passed</x:v>
      </x:c>
      <x:c r="G52" s="223" t="str">
        <x:v>Module-level supporting evidence; not full UC acceptance.</x:v>
      </x:c>
    </x:row>
    <x:row r="53" ht="60" customHeight="1">
      <x:c r="A53" s="223" t="str">
        <x:v>UT-049</x:v>
      </x:c>
      <x:c r="B53" s="223" t="str">
        <x:v>UC08, UC09, UC10, UC23, UC24, UC25, UC26, UC30</x:v>
      </x:c>
      <x:c r="C53" s="223" t="str">
        <x:v>SmartLibrary.UnitTests.Features.Circulation.CirculationRulesTests.OccupiesCopy_ExcludesPendingRequests</x:v>
      </x:c>
      <x:c r="D53" s="223" t="str">
        <x:v>apps/api/tests/SmartLibrary.UnitTests/Features/Circulation/CirculationRulesTests.cs:72</x:v>
      </x:c>
      <x:c r="E53" s="223" t="str">
        <x:v>evidence/unit.trx</x:v>
      </x:c>
      <x:c r="F53" s="223" t="str">
        <x:v>Passed</x:v>
      </x:c>
      <x:c r="G53" s="223" t="str">
        <x:v>Module-level supporting evidence; not full UC acceptance.</x:v>
      </x:c>
    </x:row>
    <x:row r="54" ht="60" customHeight="1">
      <x:c r="A54" s="223" t="str">
        <x:v>UT-050</x:v>
      </x:c>
      <x:c r="B54" s="223" t="str">
        <x:v>UC08, UC09, UC10, UC23, UC24, UC25, UC26, UC30</x:v>
      </x:c>
      <x:c r="C54" s="223" t="str">
        <x:v>SmartLibrary.UnitTests.Features.Circulation.CirculationRulesTests.OverdueFineAmount_RequiresPositiveDaysAndRate</x:v>
      </x:c>
      <x:c r="D54" s="223" t="str">
        <x:v>apps/api/tests/SmartLibrary.UnitTests/Features/Circulation/CirculationRulesTests.cs:111</x:v>
      </x:c>
      <x:c r="E54" s="223" t="str">
        <x:v>evidence/unit.trx</x:v>
      </x:c>
      <x:c r="F54" s="223" t="str">
        <x:v>Passed</x:v>
      </x:c>
      <x:c r="G54" s="223" t="str">
        <x:v>Module-level supporting evidence; not full UC acceptance.</x:v>
      </x:c>
    </x:row>
    <x:row r="55" ht="60" customHeight="1">
      <x:c r="A55" s="223" t="str">
        <x:v>UT-051</x:v>
      </x:c>
      <x:c r="B55" s="223" t="str">
        <x:v>UC08, UC09, UC10, UC23, UC24, UC25, UC26, UC30</x:v>
      </x:c>
      <x:c r="C55" s="223" t="str">
        <x:v>SmartLibrary.UnitTests.Features.Circulation.CirculationRulesTests.PickupSlots_UsesLibraryHoursAndExcludesSunday</x:v>
      </x:c>
      <x:c r="D55" s="223" t="str">
        <x:v>apps/api/tests/SmartLibrary.UnitTests/Features/Circulation/CirculationRulesTests.cs:83</x:v>
      </x:c>
      <x:c r="E55" s="223" t="str">
        <x:v>evidence/unit.trx</x:v>
      </x:c>
      <x:c r="F55" s="223" t="str">
        <x:v>Passed</x:v>
      </x:c>
      <x:c r="G55" s="223" t="str">
        <x:v>Module-level supporting evidence; not full UC acceptance.</x:v>
      </x:c>
    </x:row>
    <x:row r="56" ht="60" customHeight="1">
      <x:c r="A56" s="223" t="str">
        <x:v>UT-052</x:v>
      </x:c>
      <x:c r="B56" s="223" t="str">
        <x:v>UC08, UC09, UC10, UC23, UC24, UC25, UC26, UC30</x:v>
      </x:c>
      <x:c r="C56" s="223" t="str">
        <x:v>SmartLibrary.UnitTests.Features.Circulation.CirculationRulesTests.StartOfLibraryDateUtc_ForSelectedDateUsesVietnamMidnight</x:v>
      </x:c>
      <x:c r="D56" s="223" t="str">
        <x:v>apps/api/tests/SmartLibrary.UnitTests/Features/Circulation/CirculationRulesTests.cs:65</x:v>
      </x:c>
      <x:c r="E56" s="223" t="str">
        <x:v>evidence/unit.trx</x:v>
      </x:c>
      <x:c r="F56" s="223" t="str">
        <x:v>Passed</x:v>
      </x:c>
      <x:c r="G56" s="223" t="str">
        <x:v>Module-level supporting evidence; not full UC acceptance.</x:v>
      </x:c>
    </x:row>
    <x:row r="57" ht="60" customHeight="1">
      <x:c r="A57" s="223" t="str">
        <x:v>UT-053</x:v>
      </x:c>
      <x:c r="B57" s="223" t="str">
        <x:v>UC08, UC09, UC10, UC23, UC24, UC25, UC26, UC30</x:v>
      </x:c>
      <x:c r="C57" s="223" t="str">
        <x:v>SmartLibrary.UnitTests.Features.Circulation.CirculationRulesTests.StartOfLibraryDateUtc_MatchesVietnamMidnight</x:v>
      </x:c>
      <x:c r="D57" s="223" t="str">
        <x:v>apps/api/tests/SmartLibrary.UnitTests/Features/Circulation/CirculationRulesTests.cs:54</x:v>
      </x:c>
      <x:c r="E57" s="223" t="str">
        <x:v>evidence/unit.trx</x:v>
      </x:c>
      <x:c r="F57" s="223" t="str">
        <x:v>Passed</x:v>
      </x:c>
      <x:c r="G57" s="223" t="str">
        <x:v>Module-level supporting evidence; not full UC acceptance.</x:v>
      </x:c>
    </x:row>
    <x:row r="58" ht="60" customHeight="1">
      <x:c r="A58" s="223" t="str">
        <x:v>UT-054</x:v>
      </x:c>
      <x:c r="B58" s="223" t="str">
        <x:v>UC08, UC09, UC10, UC23, UC24, UC25, UC26, UC30</x:v>
      </x:c>
      <x:c r="C58" s="223" t="str">
        <x:v>SmartLibrary.UnitTests.Features.Circulation.CirculationRulesTests.ValidateBorrower_BlocksSuspendedAndExpired</x:v>
      </x:c>
      <x:c r="D58" s="223" t="str">
        <x:v>apps/api/tests/SmartLibrary.UnitTests/Features/Circulation/CirculationRulesTests.cs:119</x:v>
      </x:c>
      <x:c r="E58" s="223" t="str">
        <x:v>evidence/unit.trx</x:v>
      </x:c>
      <x:c r="F58" s="223" t="str">
        <x:v>Passed</x:v>
      </x:c>
      <x:c r="G58" s="223" t="str">
        <x:v>Module-level supporting evidence; not full UC acceptance.</x:v>
      </x:c>
    </x:row>
    <x:row r="59" ht="60" customHeight="1">
      <x:c r="A59" s="223" t="str">
        <x:v>UT-055</x:v>
      </x:c>
      <x:c r="B59" s="223" t="str">
        <x:v>UC08, UC09, UC10, UC23, UC24, UC25, UC26, UC30</x:v>
      </x:c>
      <x:c r="C59" s="223" t="str">
        <x:v>SmartLibrary.UnitTests.Features.Circulation.CirculationRulesTests.ValidateIncidentConfirmation_LightDamageUsesAdminFee</x:v>
      </x:c>
      <x:c r="D59" s="223" t="str">
        <x:v>apps/api/tests/SmartLibrary.UnitTests/Features/Circulation/CirculationRulesTests.cs:260</x:v>
      </x:c>
      <x:c r="E59" s="223" t="str">
        <x:v>evidence/unit.trx</x:v>
      </x:c>
      <x:c r="F59" s="223" t="str">
        <x:v>Passed</x:v>
      </x:c>
      <x:c r="G59" s="223" t="str">
        <x:v>Module-level supporting evidence; not full UC acceptance.</x:v>
      </x:c>
    </x:row>
    <x:row r="60" ht="60" customHeight="1">
      <x:c r="A60" s="223" t="str">
        <x:v>UT-056</x:v>
      </x:c>
      <x:c r="B60" s="223" t="str">
        <x:v>UC08, UC09, UC10, UC23, UC24, UC25, UC26, UC30</x:v>
      </x:c>
      <x:c r="C60" s="223" t="str">
        <x:v>SmartLibrary.UnitTests.Features.Circulation.CirculationRulesTests.ValidateIncidentConfirmation_LostNeedsPolicyFee</x:v>
      </x:c>
      <x:c r="D60" s="223" t="str">
        <x:v>apps/api/tests/SmartLibrary.UnitTests/Features/Circulation/CirculationRulesTests.cs:246</x:v>
      </x:c>
      <x:c r="E60" s="223" t="str">
        <x:v>evidence/unit.trx</x:v>
      </x:c>
      <x:c r="F60" s="223" t="str">
        <x:v>Passed</x:v>
      </x:c>
      <x:c r="G60" s="223" t="str">
        <x:v>Module-level supporting evidence; not full UC acceptance.</x:v>
      </x:c>
    </x:row>
    <x:row r="61" ht="60" customHeight="1">
      <x:c r="A61" s="223" t="str">
        <x:v>UT-057</x:v>
      </x:c>
      <x:c r="B61" s="223" t="str">
        <x:v>UC08, UC09, UC10, UC23, UC24, UC25, UC26, UC30</x:v>
      </x:c>
      <x:c r="C61" s="223" t="str">
        <x:v>SmartLibrary.UnitTests.Features.Circulation.CirculationRulesTests.ValidateRenewal_AppliesReaderSpecificLimitOverdueReservationAndTextbookRules</x:v>
      </x:c>
      <x:c r="D61" s="223" t="str">
        <x:v>apps/api/tests/SmartLibrary.UnitTests/Features/Circulation/CirculationRulesTests.cs:189</x:v>
      </x:c>
      <x:c r="E61" s="223" t="str">
        <x:v>evidence/unit.trx</x:v>
      </x:c>
      <x:c r="F61" s="223" t="str">
        <x:v>Passed</x:v>
      </x:c>
      <x:c r="G61" s="223" t="str">
        <x:v>Module-level supporting evidence; not full UC acceptance.</x:v>
      </x:c>
    </x:row>
    <x:row r="62" ht="60" customHeight="1">
      <x:c r="A62" s="223" t="str">
        <x:v>UT-058</x:v>
      </x:c>
      <x:c r="B62" s="223" t="str">
        <x:v>UC08, UC09, UC10, UC23, UC24, UC25, UC26, UC30</x:v>
      </x:c>
      <x:c r="C62" s="223" t="str">
        <x:v>SmartLibrary.UnitTests.Features.Circulation.CirculationRulesTests.ValidateRenewal_BlocksReaderWithUnpaidFineOnlyWhenPolicyRequiresIt</x:v>
      </x:c>
      <x:c r="D62" s="223" t="str">
        <x:v>apps/api/tests/SmartLibrary.UnitTests/Features/Circulation/CirculationRulesTests.cs:168</x:v>
      </x:c>
      <x:c r="E62" s="223" t="str">
        <x:v>evidence/unit.trx</x:v>
      </x:c>
      <x:c r="F62" s="223" t="str">
        <x:v>Passed</x:v>
      </x:c>
      <x:c r="G62" s="223" t="str">
        <x:v>Module-level supporting evidence; not full UC acceptance.</x:v>
      </x:c>
    </x:row>
    <x:row r="63" ht="60" customHeight="1">
      <x:c r="A63" s="223" t="str">
        <x:v>UT-059</x:v>
      </x:c>
      <x:c r="B63" s="223" t="str">
        <x:v>UC08, UC09, UC10, UC23, UC24, UC25, UC26, UC30</x:v>
      </x:c>
      <x:c r="C63" s="223" t="str">
        <x:v>SmartLibrary.UnitTests.Features.Circulation.CirculationRulesTests.ValidateRenewal_DoesNotBlockReservationUnlessConfigured</x:v>
      </x:c>
      <x:c r="D63" s="223" t="str">
        <x:v>apps/api/tests/SmartLibrary.UnitTests/Features/Circulation/CirculationRulesTests.cs:157</x:v>
      </x:c>
      <x:c r="E63" s="223" t="str">
        <x:v>evidence/unit.trx</x:v>
      </x:c>
      <x:c r="F63" s="223" t="str">
        <x:v>Passed</x:v>
      </x:c>
      <x:c r="G63" s="223" t="str">
        <x:v>Module-level supporting evidence; not full UC acceptance.</x:v>
      </x:c>
    </x:row>
    <x:row r="64" ht="60" customHeight="1">
      <x:c r="A64" s="223" t="str">
        <x:v>UT-060</x:v>
      </x:c>
      <x:c r="B64" s="223" t="str">
        <x:v>UC08, UC09, UC10, UC23, UC24, UC25, UC26, UC30</x:v>
      </x:c>
      <x:c r="C64" s="223" t="str">
        <x:v>SmartLibrary.UnitTests.Features.Circulation.CirculationRulesTests.ValidateRenewal_RespectsMaxCountAndWindow</x:v>
      </x:c>
      <x:c r="D64" s="223" t="str">
        <x:v>apps/api/tests/SmartLibrary.UnitTests/Features/Circulation/CirculationRulesTests.cs:130</x:v>
      </x:c>
      <x:c r="E64" s="223" t="str">
        <x:v>evidence/unit.trx</x:v>
      </x:c>
      <x:c r="F64" s="223" t="str">
        <x:v>Passed</x:v>
      </x:c>
      <x:c r="G64" s="223" t="str">
        <x:v>Module-level supporting evidence; not full UC acceptance.</x:v>
      </x:c>
    </x:row>
    <x:row r="65" ht="60" customHeight="1">
      <x:c r="A65" s="223" t="str">
        <x:v>UT-061</x:v>
      </x:c>
      <x:c r="B65" s="223" t="str">
        <x:v>UC08, UC09, UC10, UC23, UC24, UC25, UC26, UC30</x:v>
      </x:c>
      <x:c r="C65" s="223" t="str">
        <x:v>SmartLibrary.UnitTests.Features.Circulation.CirculationServiceTests.Approve_WhenClaimFails_LeavesRequestPending</x:v>
      </x:c>
      <x:c r="D65" s="223" t="str">
        <x:v>apps/api/tests/SmartLibrary.UnitTests/Features/Circulation/CirculationServiceTests.cs:1149</x:v>
      </x:c>
      <x:c r="E65" s="223" t="str">
        <x:v>evidence/unit.trx</x:v>
      </x:c>
      <x:c r="F65" s="223" t="str">
        <x:v>Passed</x:v>
      </x:c>
      <x:c r="G65" s="223" t="str">
        <x:v>Module-level supporting evidence; not full UC acceptance.</x:v>
      </x:c>
    </x:row>
    <x:row r="66" ht="60" customHeight="1">
      <x:c r="A66" s="223" t="str">
        <x:v>UT-062</x:v>
      </x:c>
      <x:c r="B66" s="223" t="str">
        <x:v>UC08, UC09, UC10, UC23, UC24, UC25, UC26, UC30</x:v>
      </x:c>
      <x:c r="C66" s="223" t="str">
        <x:v>SmartLibrary.UnitTests.Features.Circulation.CirculationServiceTests.Approve_WhenCopyAlreadyBorrowed_DoesNotMarkBorrowed</x:v>
      </x:c>
      <x:c r="D66" s="223" t="str">
        <x:v>apps/api/tests/SmartLibrary.UnitTests/Features/Circulation/CirculationServiceTests.cs:1086</x:v>
      </x:c>
      <x:c r="E66" s="223" t="str">
        <x:v>evidence/unit.trx</x:v>
      </x:c>
      <x:c r="F66" s="223" t="str">
        <x:v>Passed</x:v>
      </x:c>
      <x:c r="G66" s="223" t="str">
        <x:v>Module-level supporting evidence; not full UC acceptance.</x:v>
      </x:c>
    </x:row>
    <x:row r="67" ht="60" customHeight="1">
      <x:c r="A67" s="223" t="str">
        <x:v>UT-063</x:v>
      </x:c>
      <x:c r="B67" s="223" t="str">
        <x:v>UC08, UC09, UC10, UC23, UC24, UC25, UC26, UC30</x:v>
      </x:c>
      <x:c r="C67" s="223" t="str">
        <x:v>SmartLibrary.UnitTests.Features.Circulation.CirculationServiceTests.Approve_WhenCopyAlreadyHeldForThisRequest_DoesNotClaimAgain</x:v>
      </x:c>
      <x:c r="D67" s="223" t="str">
        <x:v>apps/api/tests/SmartLibrary.UnitTests/Features/Circulation/CirculationServiceTests.cs:1134</x:v>
      </x:c>
      <x:c r="E67" s="223" t="str">
        <x:v>evidence/unit.trx</x:v>
      </x:c>
      <x:c r="F67" s="223" t="str">
        <x:v>Passed</x:v>
      </x:c>
      <x:c r="G67" s="223" t="str">
        <x:v>Module-level supporting evidence; not full UC acceptance.</x:v>
      </x:c>
    </x:row>
    <x:row r="68" ht="60" customHeight="1">
      <x:c r="A68" s="223" t="str">
        <x:v>UT-064</x:v>
      </x:c>
      <x:c r="B68" s="223" t="str">
        <x:v>UC08, UC09, UC10, UC23, UC24, UC25, UC26, UC30</x:v>
      </x:c>
      <x:c r="C68" s="223" t="str">
        <x:v>SmartLibrary.UnitTests.Features.Circulation.CirculationServiceTests.Approve_WhenCopyDamagedOrLost_DoesNotMarkBorrowed</x:v>
      </x:c>
      <x:c r="D68" s="223" t="str">
        <x:v>apps/api/tests/SmartLibrary.UnitTests/Features/Circulation/CirculationServiceTests.cs:1118</x:v>
      </x:c>
      <x:c r="E68" s="223" t="str">
        <x:v>evidence/unit.trx</x:v>
      </x:c>
      <x:c r="F68" s="223" t="str">
        <x:v>Passed</x:v>
      </x:c>
      <x:c r="G68" s="223" t="str">
        <x:v>Module-level supporting evidence; not full UC acceptance.</x:v>
      </x:c>
    </x:row>
    <x:row r="69" ht="60" customHeight="1">
      <x:c r="A69" s="223" t="str">
        <x:v>UT-065</x:v>
      </x:c>
      <x:c r="B69" s="223" t="str">
        <x:v>UC08, UC09, UC10, UC23, UC24, UC25, UC26, UC30</x:v>
      </x:c>
      <x:c r="C69" s="223" t="str">
        <x:v>SmartLibrary.UnitTests.Features.Circulation.CirculationServiceTests.Approve_WhenCopyValid_ClaimsAndMarksBorrowed</x:v>
      </x:c>
      <x:c r="D69" s="223" t="str">
        <x:v>apps/api/tests/SmartLibrary.UnitTests/Features/Circulation/CirculationServiceTests.cs:1067</x:v>
      </x:c>
      <x:c r="E69" s="223" t="str">
        <x:v>evidence/unit.trx</x:v>
      </x:c>
      <x:c r="F69" s="223" t="str">
        <x:v>Passed</x:v>
      </x:c>
      <x:c r="G69" s="223" t="str">
        <x:v>Module-level supporting evidence; not full UC acceptance.</x:v>
      </x:c>
    </x:row>
    <x:row r="70" ht="60" customHeight="1">
      <x:c r="A70" s="223" t="str">
        <x:v>UT-066</x:v>
      </x:c>
      <x:c r="B70" s="223" t="str">
        <x:v>UC08, UC09, UC10, UC23, UC24, UC25, UC26, UC30</x:v>
      </x:c>
      <x:c r="C70" s="223" t="str">
        <x:v>SmartLibrary.UnitTests.Features.Circulation.CirculationServiceTests.Approve_WhenHeldForAnotherReader_DoesNotMarkBorrowed</x:v>
      </x:c>
      <x:c r="D70" s="223" t="str">
        <x:v>apps/api/tests/SmartLibrary.UnitTests/Features/Circulation/CirculationServiceTests.cs:1102</x:v>
      </x:c>
      <x:c r="E70" s="223" t="str">
        <x:v>evidence/unit.trx</x:v>
      </x:c>
      <x:c r="F70" s="223" t="str">
        <x:v>Passed</x:v>
      </x:c>
      <x:c r="G70" s="223" t="str">
        <x:v>Module-level supporting evidence; not full UC acceptance.</x:v>
      </x:c>
    </x:row>
    <x:row r="71" ht="60" customHeight="1">
      <x:c r="A71" s="223" t="str">
        <x:v>UT-067</x:v>
      </x:c>
      <x:c r="B71" s="223" t="str">
        <x:v>UC08, UC09, UC10, UC23, UC24, UC25, UC26, UC30</x:v>
      </x:c>
      <x:c r="C71" s="223" t="str">
        <x:v>SmartLibrary.UnitTests.Features.Circulation.CirculationServiceTests.Approve_WhenHoldExpired_AllowsClaim</x:v>
      </x:c>
      <x:c r="D71" s="223" t="str">
        <x:v>apps/api/tests/SmartLibrary.UnitTests/Features/Circulation/CirculationServiceTests.cs:1164</x:v>
      </x:c>
      <x:c r="E71" s="223" t="str">
        <x:v>evidence/unit.trx</x:v>
      </x:c>
      <x:c r="F71" s="223" t="str">
        <x:v>Passed</x:v>
      </x:c>
      <x:c r="G71" s="223" t="str">
        <x:v>Module-level supporting evidence; not full UC acceptance.</x:v>
      </x:c>
    </x:row>
    <x:row r="72" ht="60" customHeight="1">
      <x:c r="A72" s="223" t="str">
        <x:v>UT-068</x:v>
      </x:c>
      <x:c r="B72" s="223" t="str">
        <x:v>UC08, UC09, UC10, UC23, UC24, UC25, UC26, UC30</x:v>
      </x:c>
      <x:c r="C72" s="223" t="str">
        <x:v>SmartLibrary.UnitTests.Features.Circulation.CirculationServiceTests.Approve_WhenTwoClaimsRace_OnlyOneSucceeds</x:v>
      </x:c>
      <x:c r="D72" s="223" t="str">
        <x:v>apps/api/tests/SmartLibrary.UnitTests/Features/Circulation/CirculationServiceTests.cs:1197</x:v>
      </x:c>
      <x:c r="E72" s="223" t="str">
        <x:v>evidence/unit.trx</x:v>
      </x:c>
      <x:c r="F72" s="223" t="str">
        <x:v>Passed</x:v>
      </x:c>
      <x:c r="G72" s="223" t="str">
        <x:v>Module-level supporting evidence; not full UC acceptance.</x:v>
      </x:c>
    </x:row>
    <x:row r="73" ht="60" customHeight="1">
      <x:c r="A73" s="223" t="str">
        <x:v>UT-069</x:v>
      </x:c>
      <x:c r="B73" s="223" t="str">
        <x:v>UC08, UC09, UC10, UC23, UC24, UC25, UC26, UC30</x:v>
      </x:c>
      <x:c r="C73" s="223" t="str">
        <x:v>SmartLibrary.UnitTests.Features.Circulation.CirculationServiceTests.Checkout_ExpiresHoldsBeforeCheckingCopy</x:v>
      </x:c>
      <x:c r="D73" s="223" t="str">
        <x:v>apps/api/tests/SmartLibrary.UnitTests/Features/Circulation/CirculationServiceTests.cs:1023</x:v>
      </x:c>
      <x:c r="E73" s="223" t="str">
        <x:v>evidence/unit.trx</x:v>
      </x:c>
      <x:c r="F73" s="223" t="str">
        <x:v>Passed</x:v>
      </x:c>
      <x:c r="G73" s="223" t="str">
        <x:v>Module-level supporting evidence; not full UC acceptance.</x:v>
      </x:c>
    </x:row>
    <x:row r="74" ht="60" customHeight="1">
      <x:c r="A74" s="223" t="str">
        <x:v>UT-070</x:v>
      </x:c>
      <x:c r="B74" s="223" t="str">
        <x:v>UC08, UC09, UC10, UC23, UC24, UC25, UC26, UC30</x:v>
      </x:c>
      <x:c r="C74" s="223" t="str">
        <x:v>SmartLibrary.UnitTests.Features.Circulation.CirculationServiceTests.Checkout_WhenCopyUnavailable_Fails</x:v>
      </x:c>
      <x:c r="D74" s="223" t="str">
        <x:v>apps/api/tests/SmartLibrary.UnitTests/Features/Circulation/CirculationServiceTests.cs:129</x:v>
      </x:c>
      <x:c r="E74" s="223" t="str">
        <x:v>evidence/unit.trx</x:v>
      </x:c>
      <x:c r="F74" s="223" t="str">
        <x:v>Passed</x:v>
      </x:c>
      <x:c r="G74" s="223" t="str">
        <x:v>Module-level supporting evidence; not full UC acceptance.</x:v>
      </x:c>
    </x:row>
    <x:row r="75" ht="60" customHeight="1">
      <x:c r="A75" s="223" t="str">
        <x:v>UT-071</x:v>
      </x:c>
      <x:c r="B75" s="223" t="str">
        <x:v>UC08, UC09, UC10, UC23, UC24, UC25, UC26, UC30</x:v>
      </x:c>
      <x:c r="C75" s="223" t="str">
        <x:v>SmartLibrary.UnitTests.Features.Circulation.CirculationServiceTests.Checkout_WhenHoldExpired_DoesNotBlockWalkIn</x:v>
      </x:c>
      <x:c r="D75" s="223" t="str">
        <x:v>apps/api/tests/SmartLibrary.UnitTests/Features/Circulation/CirculationServiceTests.cs:1048</x:v>
      </x:c>
      <x:c r="E75" s="223" t="str">
        <x:v>evidence/unit.trx</x:v>
      </x:c>
      <x:c r="F75" s="223" t="str">
        <x:v>Passed</x:v>
      </x:c>
      <x:c r="G75" s="223" t="str">
        <x:v>Module-level supporting evidence; not full UC acceptance.</x:v>
      </x:c>
    </x:row>
    <x:row r="76" ht="60" customHeight="1">
      <x:c r="A76" s="223" t="str">
        <x:v>UT-072</x:v>
      </x:c>
      <x:c r="B76" s="223" t="str">
        <x:v>UC08, UC09, UC10, UC23, UC24, UC25, UC26, UC30</x:v>
      </x:c>
      <x:c r="C76" s="223" t="str">
        <x:v>SmartLibrary.UnitTests.Features.Circulation.CirculationServiceTests.Checkout_WhenReadyHoldConsumesLastCopy_BlocksOtherReader</x:v>
      </x:c>
      <x:c r="D76" s="223" t="str">
        <x:v>apps/api/tests/SmartLibrary.UnitTests/Features/Circulation/CirculationServiceTests.cs:474</x:v>
      </x:c>
      <x:c r="E76" s="223" t="str">
        <x:v>evidence/unit.trx</x:v>
      </x:c>
      <x:c r="F76" s="223" t="str">
        <x:v>Passed</x:v>
      </x:c>
      <x:c r="G76" s="223" t="str">
        <x:v>Module-level supporting evidence; not full UC acceptance.</x:v>
      </x:c>
    </x:row>
    <x:row r="77" ht="60" customHeight="1">
      <x:c r="A77" s="223" t="str">
        <x:v>UT-073</x:v>
      </x:c>
      <x:c r="B77" s="223" t="str">
        <x:v>UC08, UC09, UC10, UC23, UC24, UC25, UC26, UC30</x:v>
      </x:c>
      <x:c r="C77" s="223" t="str">
        <x:v>SmartLibrary.UnitTests.Features.Circulation.CirculationServiceTests.Checkout_WhenTwoClaimsRace_FailsSecond</x:v>
      </x:c>
      <x:c r="D77" s="223" t="str">
        <x:v>apps/api/tests/SmartLibrary.UnitTests/Features/Circulation/CirculationServiceTests.cs:145</x:v>
      </x:c>
      <x:c r="E77" s="223" t="str">
        <x:v>evidence/unit.trx</x:v>
      </x:c>
      <x:c r="F77" s="223" t="str">
        <x:v>Passed</x:v>
      </x:c>
      <x:c r="G77" s="223" t="str">
        <x:v>Module-level supporting evidence; not full UC acceptance.</x:v>
      </x:c>
    </x:row>
    <x:row r="78" ht="60" customHeight="1">
      <x:c r="A78" s="223" t="str">
        <x:v>UT-074</x:v>
      </x:c>
      <x:c r="B78" s="223" t="str">
        <x:v>UC08, UC09, UC10, UC23, UC24, UC25, UC26, UC30</x:v>
      </x:c>
      <x:c r="C78" s="223" t="str">
        <x:v>SmartLibrary.UnitTests.Features.Circulation.CirculationServiceTests.Checkout_WhenUnpaidFines_BlocksBorrow</x:v>
      </x:c>
      <x:c r="D78" s="223" t="str">
        <x:v>apps/api/tests/SmartLibrary.UnitTests/Features/Circulation/CirculationServiceTests.cs:162</x:v>
      </x:c>
      <x:c r="E78" s="223" t="str">
        <x:v>evidence/unit.trx</x:v>
      </x:c>
      <x:c r="F78" s="223" t="str">
        <x:v>Passed</x:v>
      </x:c>
      <x:c r="G78" s="223" t="str">
        <x:v>Module-level supporting evidence; not full UC acceptance.</x:v>
      </x:c>
    </x:row>
    <x:row r="79" ht="60" customHeight="1">
      <x:c r="A79" s="223" t="str">
        <x:v>UT-075</x:v>
      </x:c>
      <x:c r="B79" s="223" t="str">
        <x:v>UC08, UC09, UC10, UC23, UC24, UC25, UC26, UC30</x:v>
      </x:c>
      <x:c r="C79" s="223" t="str">
        <x:v>SmartLibrary.UnitTests.Features.Circulation.CirculationServiceTests.CompleteCheckout_WhenAdminSetsSevenDays_UsesSevenDays</x:v>
      </x:c>
      <x:c r="D79" s="223" t="str">
        <x:v>apps/api/tests/SmartLibrary.UnitTests/Features/Circulation/CirculationServiceTests.cs:583</x:v>
      </x:c>
      <x:c r="E79" s="223" t="str">
        <x:v>evidence/unit.trx</x:v>
      </x:c>
      <x:c r="F79" s="223" t="str">
        <x:v>Passed</x:v>
      </x:c>
      <x:c r="G79" s="223" t="str">
        <x:v>Module-level supporting evidence; not full UC acceptance.</x:v>
      </x:c>
    </x:row>
    <x:row r="80" ht="60" customHeight="1">
      <x:c r="A80" s="223" t="str">
        <x:v>UT-076</x:v>
      </x:c>
      <x:c r="B80" s="223" t="str">
        <x:v>UC08, UC09, UC10, UC23, UC24, UC25, UC26, UC30</x:v>
      </x:c>
      <x:c r="C80" s="223" t="str">
        <x:v>SmartLibrary.UnitTests.Features.Circulation.CirculationServiceTests.CompleteCheckout_WhenApproved_StartsBorrowPeriodAndNotifiesReader</x:v>
      </x:c>
      <x:c r="D80" s="223" t="str">
        <x:v>apps/api/tests/SmartLibrary.UnitTests/Features/Circulation/CirculationServiceTests.cs:548</x:v>
      </x:c>
      <x:c r="E80" s="223" t="str">
        <x:v>evidence/unit.trx</x:v>
      </x:c>
      <x:c r="F80" s="223" t="str">
        <x:v>Passed</x:v>
      </x:c>
      <x:c r="G80" s="223" t="str">
        <x:v>Module-level supporting evidence; not full UC acceptance.</x:v>
      </x:c>
    </x:row>
    <x:row r="81" ht="60" customHeight="1">
      <x:c r="A81" s="223" t="str">
        <x:v>UT-077</x:v>
      </x:c>
      <x:c r="B81" s="223" t="str">
        <x:v>UC08, UC09, UC10, UC23, UC24, UC25, UC26, UC30</x:v>
      </x:c>
      <x:c r="C81" s="223" t="str">
        <x:v>SmartLibrary.UnitTests.Features.Circulation.CirculationServiceTests.CompleteCheckout_WhenBorrowDaysMissing_Fails</x:v>
      </x:c>
      <x:c r="D81" s="223" t="str">
        <x:v>apps/api/tests/SmartLibrary.UnitTests/Features/Circulation/CirculationServiceTests.cs:610</x:v>
      </x:c>
      <x:c r="E81" s="223" t="str">
        <x:v>evidence/unit.trx</x:v>
      </x:c>
      <x:c r="F81" s="223" t="str">
        <x:v>Passed</x:v>
      </x:c>
      <x:c r="G81" s="223" t="str">
        <x:v>Module-level supporting evidence; not full UC acceptance.</x:v>
      </x:c>
    </x:row>
    <x:row r="82" ht="60" customHeight="1">
      <x:c r="A82" s="223" t="str">
        <x:v>UT-078</x:v>
      </x:c>
      <x:c r="B82" s="223" t="str">
        <x:v>UC08, UC09, UC10, UC23, UC24, UC25, UC26, UC30</x:v>
      </x:c>
      <x:c r="C82" s="223" t="str">
        <x:v>SmartLibrary.UnitTests.Features.Circulation.CirculationServiceTests.ConfirmIncident_IgnoresClientAmount_UsesAdminPolicy</x:v>
      </x:c>
      <x:c r="D82" s="223" t="str">
        <x:v>apps/api/tests/SmartLibrary.UnitTests/Features/Circulation/CirculationServiceTests.cs:376</x:v>
      </x:c>
      <x:c r="E82" s="223" t="str">
        <x:v>evidence/unit.trx</x:v>
      </x:c>
      <x:c r="F82" s="223" t="str">
        <x:v>Passed</x:v>
      </x:c>
      <x:c r="G82" s="223" t="str">
        <x:v>Module-level supporting evidence; not full UC acceptance.</x:v>
      </x:c>
    </x:row>
    <x:row r="83" ht="60" customHeight="1">
      <x:c r="A83" s="223" t="str">
        <x:v>UT-079</x:v>
      </x:c>
      <x:c r="B83" s="223" t="str">
        <x:v>UC08, UC09, UC10, UC23, UC24, UC25, UC26, UC30</x:v>
      </x:c>
      <x:c r="C83" s="223" t="str">
        <x:v>SmartLibrary.UnitTests.Features.Circulation.CirculationServiceTests.ConfirmIncident_WhenAlreadyCharged_DoesNotDuplicate</x:v>
      </x:c>
      <x:c r="D83" s="223" t="str">
        <x:v>apps/api/tests/SmartLibrary.UnitTests/Features/Circulation/CirculationServiceTests.cs:431</x:v>
      </x:c>
      <x:c r="E83" s="223" t="str">
        <x:v>evidence/unit.trx</x:v>
      </x:c>
      <x:c r="F83" s="223" t="str">
        <x:v>Passed</x:v>
      </x:c>
      <x:c r="G83" s="223" t="str">
        <x:v>Module-level supporting evidence; not full UC acceptance.</x:v>
      </x:c>
    </x:row>
    <x:row r="84" ht="60" customHeight="1">
      <x:c r="A84" s="223" t="str">
        <x:v>UT-080</x:v>
      </x:c>
      <x:c r="B84" s="223" t="str">
        <x:v>UC08, UC09, UC10, UC23, UC24, UC25, UC26, UC30</x:v>
      </x:c>
      <x:c r="C84" s="223" t="str">
        <x:v>SmartLibrary.UnitTests.Features.Circulation.CirculationServiceTests.ConfirmIncident_WhenLightDamage_DoesNotChargeReplacement</x:v>
      </x:c>
      <x:c r="D84" s="223" t="str">
        <x:v>apps/api/tests/SmartLibrary.UnitTests/Features/Circulation/CirculationServiceTests.cs:448</x:v>
      </x:c>
      <x:c r="E84" s="223" t="str">
        <x:v>evidence/unit.trx</x:v>
      </x:c>
      <x:c r="F84" s="223" t="str">
        <x:v>Passed</x:v>
      </x:c>
      <x:c r="G84" s="223" t="str">
        <x:v>Module-level supporting evidence; not full UC acceptance.</x:v>
      </x:c>
    </x:row>
    <x:row r="85" ht="60" customHeight="1">
      <x:c r="A85" s="223" t="str">
        <x:v>UT-081</x:v>
      </x:c>
      <x:c r="B85" s="223" t="str">
        <x:v>UC08, UC09, UC10, UC23, UC24, UC25, UC26, UC30</x:v>
      </x:c>
      <x:c r="C85" s="223" t="str">
        <x:v>SmartLibrary.UnitTests.Features.Circulation.CirculationServiceTests.ConfirmIncident_WhenLostFeeMissing_Fails</x:v>
      </x:c>
      <x:c r="D85" s="223" t="str">
        <x:v>apps/api/tests/SmartLibrary.UnitTests/Features/Circulation/CirculationServiceTests.cs:358</x:v>
      </x:c>
      <x:c r="E85" s="223" t="str">
        <x:v>evidence/unit.trx</x:v>
      </x:c>
      <x:c r="F85" s="223" t="str">
        <x:v>Passed</x:v>
      </x:c>
      <x:c r="G85" s="223" t="str">
        <x:v>Module-level supporting evidence; not full UC acceptance.</x:v>
      </x:c>
    </x:row>
    <x:row r="86" ht="60" customHeight="1">
      <x:c r="A86" s="223" t="str">
        <x:v>UT-082</x:v>
      </x:c>
      <x:c r="B86" s="223" t="str">
        <x:v>UC08, UC09, UC10, UC23, UC24, UC25, UC26, UC30</x:v>
      </x:c>
      <x:c r="C86" s="223" t="str">
        <x:v>SmartLibrary.UnitTests.Features.Circulation.CirculationServiceTests.ConfirmIncident_WhenLostWithOverdue_CreatesCompensationAndOverdueOnce</x:v>
      </x:c>
      <x:c r="D86" s="223" t="str">
        <x:v>apps/api/tests/SmartLibrary.UnitTests/Features/Circulation/CirculationServiceTests.cs:394</x:v>
      </x:c>
      <x:c r="E86" s="223" t="str">
        <x:v>evidence/unit.trx</x:v>
      </x:c>
      <x:c r="F86" s="223" t="str">
        <x:v>Passed</x:v>
      </x:c>
      <x:c r="G86" s="223" t="str">
        <x:v>Module-level supporting evidence; not full UC acceptance.</x:v>
      </x:c>
    </x:row>
    <x:row r="87" ht="60" customHeight="1">
      <x:c r="A87" s="223" t="str">
        <x:v>UT-083</x:v>
      </x:c>
      <x:c r="B87" s="223" t="str">
        <x:v>UC08, UC09, UC10, UC23, UC24, UC25, UC26, UC30</x:v>
      </x:c>
      <x:c r="C87" s="223" t="str">
        <x:v>SmartLibrary.UnitTests.Features.Circulation.CirculationServiceTests.ConfirmIncident_WhenTwoClaimsRace_OnlyOneCreatesCompensation</x:v>
      </x:c>
      <x:c r="D87" s="223" t="str">
        <x:v>apps/api/tests/SmartLibrary.UnitTests/Features/Circulation/CirculationServiceTests.cs:1222</x:v>
      </x:c>
      <x:c r="E87" s="223" t="str">
        <x:v>evidence/unit.trx</x:v>
      </x:c>
      <x:c r="F87" s="223" t="str">
        <x:v>Passed</x:v>
      </x:c>
      <x:c r="G87" s="223" t="str">
        <x:v>Module-level supporting evidence; not full UC acceptance.</x:v>
      </x:c>
    </x:row>
    <x:row r="88" ht="60" customHeight="1">
      <x:c r="A88" s="223" t="str">
        <x:v>UT-084</x:v>
      </x:c>
      <x:c r="B88" s="223" t="str">
        <x:v>UC08, UC09, UC10, UC23, UC24, UC25, UC26, UC30</x:v>
      </x:c>
      <x:c r="C88" s="223" t="str">
        <x:v>SmartLibrary.UnitTests.Features.Circulation.CirculationServiceTests.CreateBookReservation_WhenCopiesRemain_Fails</x:v>
      </x:c>
      <x:c r="D88" s="223" t="str">
        <x:v>apps/api/tests/SmartLibrary.UnitTests/Features/Circulation/CirculationServiceTests.cs:873</x:v>
      </x:c>
      <x:c r="E88" s="223" t="str">
        <x:v>evidence/unit.trx</x:v>
      </x:c>
      <x:c r="F88" s="223" t="str">
        <x:v>Passed</x:v>
      </x:c>
      <x:c r="G88" s="223" t="str">
        <x:v>Module-level supporting evidence; not full UC acceptance.</x:v>
      </x:c>
    </x:row>
    <x:row r="89" ht="60" customHeight="1">
      <x:c r="A89" s="223" t="str">
        <x:v>UT-085</x:v>
      </x:c>
      <x:c r="B89" s="223" t="str">
        <x:v>UC08, UC09, UC10, UC23, UC24, UC25, UC26, UC30</x:v>
      </x:c>
      <x:c r="C89" s="223" t="str">
        <x:v>SmartLibrary.UnitTests.Features.Circulation.CirculationServiceTests.CreateLibrarianReservation_WhenCopiesAreUnavailable_CreatesQueueEntryAndNotifiesReader</x:v>
      </x:c>
      <x:c r="D89" s="223" t="str">
        <x:v>apps/api/tests/SmartLibrary.UnitTests/Features/Circulation/CirculationServiceTests.cs:892</x:v>
      </x:c>
      <x:c r="E89" s="223" t="str">
        <x:v>evidence/unit.trx</x:v>
      </x:c>
      <x:c r="F89" s="223" t="str">
        <x:v>Passed</x:v>
      </x:c>
      <x:c r="G89" s="223" t="str">
        <x:v>Module-level supporting evidence; not full UC acceptance.</x:v>
      </x:c>
    </x:row>
    <x:row r="90" ht="60" customHeight="1">
      <x:c r="A90" s="223" t="str">
        <x:v>UT-086</x:v>
      </x:c>
      <x:c r="B90" s="223" t="str">
        <x:v>UC08, UC09, UC10, UC23, UC24, UC25, UC26, UC30</x:v>
      </x:c>
      <x:c r="C90" s="223" t="str">
        <x:v>SmartLibrary.UnitTests.Features.Circulation.CirculationServiceTests.CreateLibrarianReservation_WhenCopiesRemain_FailsWithoutAddingReservation</x:v>
      </x:c>
      <x:c r="D90" s="223" t="str">
        <x:v>apps/api/tests/SmartLibrary.UnitTests/Features/Circulation/CirculationServiceTests.cs:935</x:v>
      </x:c>
      <x:c r="E90" s="223" t="str">
        <x:v>evidence/unit.trx</x:v>
      </x:c>
      <x:c r="F90" s="223" t="str">
        <x:v>Passed</x:v>
      </x:c>
      <x:c r="G90" s="223" t="str">
        <x:v>Module-level supporting evidence; not full UC acceptance.</x:v>
      </x:c>
    </x:row>
    <x:row r="91" ht="60" customHeight="1">
      <x:c r="A91" s="223" t="str">
        <x:v>UT-087</x:v>
      </x:c>
      <x:c r="B91" s="223" t="str">
        <x:v>UC08, UC09, UC10, UC23, UC24, UC25, UC26, UC30</x:v>
      </x:c>
      <x:c r="C91" s="223" t="str">
        <x:v>SmartLibrary.UnitTests.Features.Circulation.CirculationServiceTests.CreatePayOSCheckout_UsesExactFineAmountAndReusesPendingIntent</x:v>
      </x:c>
      <x:c r="D91" s="223" t="str">
        <x:v>apps/api/tests/SmartLibrary.UnitTests/Features/Circulation/CirculationServiceTests.cs:222</x:v>
      </x:c>
      <x:c r="E91" s="223" t="str">
        <x:v>evidence/unit.trx</x:v>
      </x:c>
      <x:c r="F91" s="223" t="str">
        <x:v>Passed</x:v>
      </x:c>
      <x:c r="G91" s="223" t="str">
        <x:v>Module-level supporting evidence; not full UC acceptance.</x:v>
      </x:c>
    </x:row>
    <x:row r="92" ht="60" customHeight="1">
      <x:c r="A92" s="223" t="str">
        <x:v>UT-088</x:v>
      </x:c>
      <x:c r="B92" s="223" t="str">
        <x:v>UC08, UC09, UC10, UC23, UC24, UC25, UC26, UC30</x:v>
      </x:c>
      <x:c r="C92" s="223" t="str">
        <x:v>SmartLibrary.UnitTests.Features.Circulation.CirculationServiceTests.ExpireHold_WhenCopyUnusable_DoesNotReadyNextReader</x:v>
      </x:c>
      <x:c r="D92" s="223" t="str">
        <x:v>apps/api/tests/SmartLibrary.UnitTests/Features/Circulation/CirculationServiceTests.cs:1180</x:v>
      </x:c>
      <x:c r="E92" s="223" t="str">
        <x:v>evidence/unit.trx</x:v>
      </x:c>
      <x:c r="F92" s="223" t="str">
        <x:v>Passed</x:v>
      </x:c>
      <x:c r="G92" s="223" t="str">
        <x:v>Module-level supporting evidence; not full UC acceptance.</x:v>
      </x:c>
    </x:row>
    <x:row r="93" ht="60" customHeight="1">
      <x:c r="A93" s="223" t="str">
        <x:v>UT-089</x:v>
      </x:c>
      <x:c r="B93" s="223" t="str">
        <x:v>UC08, UC09, UC10, UC23, UC24, UC25, UC26, UC30</x:v>
      </x:c>
      <x:c r="C93" s="223" t="str">
        <x:v>SmartLibrary.UnitTests.Features.Circulation.CirculationServiceTests.ExpireUncollectedPickup_ReleasesHeldCopyAfterGracePeriod</x:v>
      </x:c>
      <x:c r="D93" s="223" t="str">
        <x:v>apps/api/tests/SmartLibrary.UnitTests/Features/Circulation/CirculationServiceTests.cs:635</x:v>
      </x:c>
      <x:c r="E93" s="223" t="str">
        <x:v>evidence/unit.trx</x:v>
      </x:c>
      <x:c r="F93" s="223" t="str">
        <x:v>Passed</x:v>
      </x:c>
      <x:c r="G93" s="223" t="str">
        <x:v>Module-level supporting evidence; not full UC acceptance.</x:v>
      </x:c>
    </x:row>
    <x:row r="94" ht="60" customHeight="1">
      <x:c r="A94" s="223" t="str">
        <x:v>UT-090</x:v>
      </x:c>
      <x:c r="B94" s="223" t="str">
        <x:v>UC08, UC09, UC10, UC23, UC24, UC25, UC26, UC30</x:v>
      </x:c>
      <x:c r="C94" s="223" t="str">
        <x:v>SmartLibrary.UnitTests.Features.Circulation.CirculationServiceTests.GetBorrowableCopyCount_ExcludesCopiesHeldForReadyReservations</x:v>
      </x:c>
      <x:c r="D94" s="223" t="str">
        <x:v>apps/api/tests/SmartLibrary.UnitTests/Features/Circulation/CirculationServiceTests.cs:955</x:v>
      </x:c>
      <x:c r="E94" s="223" t="str">
        <x:v>evidence/unit.trx</x:v>
      </x:c>
      <x:c r="F94" s="223" t="str">
        <x:v>Passed</x:v>
      </x:c>
      <x:c r="G94" s="223" t="str">
        <x:v>Module-level supporting evidence; not full UC acceptance.</x:v>
      </x:c>
    </x:row>
    <x:row r="95" ht="60" customHeight="1">
      <x:c r="A95" s="223" t="str">
        <x:v>UT-091</x:v>
      </x:c>
      <x:c r="B95" s="223" t="str">
        <x:v>UC08, UC09, UC10, UC23, UC24, UC25, UC26, UC30</x:v>
      </x:c>
      <x:c r="C95" s="223" t="str">
        <x:v>SmartLibrary.UnitTests.Features.Circulation.CirculationServiceTests.GetMyFines_WhenAnonymous_Fails</x:v>
      </x:c>
      <x:c r="D95" s="223" t="str">
        <x:v>apps/api/tests/SmartLibrary.UnitTests/Features/Circulation/CirculationServiceTests.cs:1016</x:v>
      </x:c>
      <x:c r="E95" s="223" t="str">
        <x:v>evidence/unit.trx</x:v>
      </x:c>
      <x:c r="F95" s="223" t="str">
        <x:v>Passed</x:v>
      </x:c>
      <x:c r="G95" s="223" t="str">
        <x:v>Module-level supporting evidence; not full UC acceptance.</x:v>
      </x:c>
    </x:row>
    <x:row r="96" ht="60" customHeight="1">
      <x:c r="A96" s="223" t="str">
        <x:v>UT-092</x:v>
      </x:c>
      <x:c r="B96" s="223" t="str">
        <x:v>UC08, UC09, UC10, UC23, UC24, UC25, UC26, UC30</x:v>
      </x:c>
      <x:c r="C96" s="223" t="str">
        <x:v>SmartLibrary.UnitTests.Features.Circulation.CirculationServiceTests.PayFine_WhenAlreadyPaid_IsIdempotent</x:v>
      </x:c>
      <x:c r="D96" s="223" t="str">
        <x:v>apps/api/tests/SmartLibrary.UnitTests/Features/Circulation/CirculationServiceTests.cs:175</x:v>
      </x:c>
      <x:c r="E96" s="223" t="str">
        <x:v>evidence/unit.trx</x:v>
      </x:c>
      <x:c r="F96" s="223" t="str">
        <x:v>Passed</x:v>
      </x:c>
      <x:c r="G96" s="223" t="str">
        <x:v>Module-level supporting evidence; not full UC acceptance.</x:v>
      </x:c>
    </x:row>
    <x:row r="97" ht="60" customHeight="1">
      <x:c r="A97" s="223" t="str">
        <x:v>UT-093</x:v>
      </x:c>
      <x:c r="B97" s="223" t="str">
        <x:v>UC08, UC09, UC10, UC23, UC24, UC25, UC26, UC30</x:v>
      </x:c>
      <x:c r="C97" s="223" t="str">
        <x:v>SmartLibrary.UnitTests.Features.Circulation.CirculationServiceTests.PayFine_WhenCashReceived_RecordsCashChannelAndReceipt</x:v>
      </x:c>
      <x:c r="D97" s="223" t="str">
        <x:v>apps/api/tests/SmartLibrary.UnitTests/Features/Circulation/CirculationServiceTests.cs:192</x:v>
      </x:c>
      <x:c r="E97" s="223" t="str">
        <x:v>evidence/unit.trx</x:v>
      </x:c>
      <x:c r="F97" s="223" t="str">
        <x:v>Passed</x:v>
      </x:c>
      <x:c r="G97" s="223" t="str">
        <x:v>Module-level supporting evidence; not full UC acceptance.</x:v>
      </x:c>
    </x:row>
    <x:row r="98" ht="60" customHeight="1">
      <x:c r="A98" s="223" t="str">
        <x:v>UT-094</x:v>
      </x:c>
      <x:c r="B98" s="223" t="str">
        <x:v>UC08, UC09, UC10, UC23, UC24, UC25, UC26, UC30</x:v>
      </x:c>
      <x:c r="C98" s="223" t="str">
        <x:v>SmartLibrary.UnitTests.Features.Circulation.CirculationServiceTests.ProcessPayOSWebhook_WhenAmountDoesNotMatch_DoesNotSettleFine</x:v>
      </x:c>
      <x:c r="D98" s="223" t="str">
        <x:v>apps/api/tests/SmartLibrary.UnitTests/Features/Circulation/CirculationServiceTests.cs:253</x:v>
      </x:c>
      <x:c r="E98" s="223" t="str">
        <x:v>evidence/unit.trx</x:v>
      </x:c>
      <x:c r="F98" s="223" t="str">
        <x:v>Passed</x:v>
      </x:c>
      <x:c r="G98" s="223" t="str">
        <x:v>Module-level supporting evidence; not full UC acceptance.</x:v>
      </x:c>
    </x:row>
    <x:row r="99" ht="60" customHeight="1">
      <x:c r="A99" s="223" t="str">
        <x:v>UT-095</x:v>
      </x:c>
      <x:c r="B99" s="223" t="str">
        <x:v>UC08, UC09, UC10, UC23, UC24, UC25, UC26, UC30</x:v>
      </x:c>
      <x:c r="C99" s="223" t="str">
        <x:v>SmartLibrary.UnitTests.Features.Circulation.CirculationServiceTests.RecordFine_IgnoresClientAmount_UsesAdminPolicy</x:v>
      </x:c>
      <x:c r="D99" s="223" t="str">
        <x:v>apps/api/tests/SmartLibrary.UnitTests/Features/Circulation/CirculationServiceTests.cs:308</x:v>
      </x:c>
      <x:c r="E99" s="223" t="str">
        <x:v>evidence/unit.trx</x:v>
      </x:c>
      <x:c r="F99" s="223" t="str">
        <x:v>Passed</x:v>
      </x:c>
      <x:c r="G99" s="223" t="str">
        <x:v>Module-level supporting evidence; not full UC acceptance.</x:v>
      </x:c>
    </x:row>
    <x:row r="100" ht="60" customHeight="1">
      <x:c r="A100" s="223" t="str">
        <x:v>UT-096</x:v>
      </x:c>
      <x:c r="B100" s="223" t="str">
        <x:v>UC08, UC09, UC10, UC23, UC24, UC25, UC26, UC30</x:v>
      </x:c>
      <x:c r="C100" s="223" t="str">
        <x:v>SmartLibrary.UnitTests.Features.Circulation.CirculationServiceTests.RecordFine_WhenOverdueFineExists_DoesNotDuplicate</x:v>
      </x:c>
      <x:c r="D100" s="223" t="str">
        <x:v>apps/api/tests/SmartLibrary.UnitTests/Features/Circulation/CirculationServiceTests.cs:294</x:v>
      </x:c>
      <x:c r="E100" s="223" t="str">
        <x:v>evidence/unit.trx</x:v>
      </x:c>
      <x:c r="F100" s="223" t="str">
        <x:v>Passed</x:v>
      </x:c>
      <x:c r="G100" s="223" t="str">
        <x:v>Module-level supporting evidence; not full UC acceptance.</x:v>
      </x:c>
    </x:row>
    <x:row r="101" ht="60" customHeight="1">
      <x:c r="A101" s="223" t="str">
        <x:v>UT-097</x:v>
      </x:c>
      <x:c r="B101" s="223" t="str">
        <x:v>UC08, UC09, UC10, UC23, UC24, UC25, UC26, UC30</x:v>
      </x:c>
      <x:c r="C101" s="223" t="str">
        <x:v>SmartLibrary.UnitTests.Features.Circulation.CirculationServiceTests.Renew_WhenEligibleSelfService_ExtendsDueDateAndPersistsRenewal</x:v>
      </x:c>
      <x:c r="D101" s="223" t="str">
        <x:v>apps/api/tests/SmartLibrary.UnitTests/Features/Circulation/CirculationServiceTests.cs:749</x:v>
      </x:c>
      <x:c r="E101" s="223" t="str">
        <x:v>evidence/unit.trx</x:v>
      </x:c>
      <x:c r="F101" s="223" t="str">
        <x:v>Passed</x:v>
      </x:c>
      <x:c r="G101" s="223" t="str">
        <x:v>Module-level supporting evidence; not full UC acceptance.</x:v>
      </x:c>
    </x:row>
    <x:row r="102" ht="60" customHeight="1">
      <x:c r="A102" s="223" t="str">
        <x:v>UT-098</x:v>
      </x:c>
      <x:c r="B102" s="223" t="str">
        <x:v>UC08, UC09, UC10, UC23, UC24, UC25, UC26, UC30</x:v>
      </x:c>
      <x:c r="C102" s="223" t="str">
        <x:v>SmartLibrary.UnitTests.Features.Circulation.CirculationServiceTests.Renew_WhenExceedingMax_Fails</x:v>
      </x:c>
      <x:c r="D102" s="223" t="str">
        <x:v>apps/api/tests/SmartLibrary.UnitTests/Features/Circulation/CirculationServiceTests.cs:851</x:v>
      </x:c>
      <x:c r="E102" s="223" t="str">
        <x:v>evidence/unit.trx</x:v>
      </x:c>
      <x:c r="F102" s="223" t="str">
        <x:v>Passed</x:v>
      </x:c>
      <x:c r="G102" s="223" t="str">
        <x:v>Module-level supporting evidence; not full UC acceptance.</x:v>
      </x:c>
    </x:row>
    <x:row r="103" ht="60" customHeight="1">
      <x:c r="A103" s="223" t="str">
        <x:v>UT-099</x:v>
      </x:c>
      <x:c r="B103" s="223" t="str">
        <x:v>UC08, UC09, UC10, UC23, UC24, UC25, UC26, UC30</x:v>
      </x:c>
      <x:c r="C103" s="223" t="str">
        <x:v>SmartLibrary.UnitTests.Features.Circulation.CirculationServiceTests.Renew_WhenReaderDoesNotOwnLoan_FailsWithoutUpdating</x:v>
      </x:c>
      <x:c r="D103" s="223" t="str">
        <x:v>apps/api/tests/SmartLibrary.UnitTests/Features/Circulation/CirculationServiceTests.cs:786</x:v>
      </x:c>
      <x:c r="E103" s="223" t="str">
        <x:v>evidence/unit.trx</x:v>
      </x:c>
      <x:c r="F103" s="223" t="str">
        <x:v>Passed</x:v>
      </x:c>
      <x:c r="G103" s="223" t="str">
        <x:v>Module-level supporting evidence; not full UC acceptance.</x:v>
      </x:c>
    </x:row>
    <x:row r="104" ht="60" customHeight="1">
      <x:c r="A104" s="223" t="str">
        <x:v>UT-100</x:v>
      </x:c>
      <x:c r="B104" s="223" t="str">
        <x:v>UC08, UC09, UC10, UC23, UC24, UC25, UC26, UC30</x:v>
      </x:c>
      <x:c r="C104" s="223" t="str">
        <x:v>SmartLibrary.UnitTests.Features.Circulation.CirculationServiceTests.Renew_WhenUnpaidAndSelfService_Fails</x:v>
      </x:c>
      <x:c r="D104" s="223" t="str">
        <x:v>apps/api/tests/SmartLibrary.UnitTests/Features/Circulation/CirculationServiceTests.cs:729</x:v>
      </x:c>
      <x:c r="E104" s="223" t="str">
        <x:v>evidence/unit.trx</x:v>
      </x:c>
      <x:c r="F104" s="223" t="str">
        <x:v>Passed</x:v>
      </x:c>
      <x:c r="G104" s="223" t="str">
        <x:v>Module-level supporting evidence; not full UC acceptance.</x:v>
      </x:c>
    </x:row>
    <x:row r="105" ht="60" customHeight="1">
      <x:c r="A105" s="223" t="str">
        <x:v>UT-101</x:v>
      </x:c>
      <x:c r="B105" s="223" t="str">
        <x:v>UC08, UC09, UC10, UC23, UC24, UC25, UC26, UC30</x:v>
      </x:c>
      <x:c r="C105" s="223" t="str">
        <x:v>SmartLibrary.UnitTests.Features.Circulation.CirculationServiceTests.ReportIncident_DoesNotCreateCompensation</x:v>
      </x:c>
      <x:c r="D105" s="223" t="str">
        <x:v>apps/api/tests/SmartLibrary.UnitTests/Features/Circulation/CirculationServiceTests.cs:807</x:v>
      </x:c>
      <x:c r="E105" s="223" t="str">
        <x:v>evidence/unit.trx</x:v>
      </x:c>
      <x:c r="F105" s="223" t="str">
        <x:v>Passed</x:v>
      </x:c>
      <x:c r="G105" s="223" t="str">
        <x:v>Module-level supporting evidence; not full UC acceptance.</x:v>
      </x:c>
    </x:row>
    <x:row r="106" ht="60" customHeight="1">
      <x:c r="A106" s="223" t="str">
        <x:v>UT-102</x:v>
      </x:c>
      <x:c r="B106" s="223" t="str">
        <x:v>UC08, UC09, UC10, UC23, UC24, UC25, UC26, UC30</x:v>
      </x:c>
      <x:c r="C106" s="223" t="str">
        <x:v>SmartLibrary.UnitTests.Features.Circulation.CirculationServiceTests.RequestBorrow_CreatesPendingAndClaimsCopy</x:v>
      </x:c>
      <x:c r="D106" s="223" t="str">
        <x:v>apps/api/tests/SmartLibrary.UnitTests/Features/Circulation/CirculationServiceTests.cs:493</x:v>
      </x:c>
      <x:c r="E106" s="223" t="str">
        <x:v>evidence/unit.trx</x:v>
      </x:c>
      <x:c r="F106" s="223" t="str">
        <x:v>Passed</x:v>
      </x:c>
      <x:c r="G106" s="223" t="str">
        <x:v>Module-level supporting evidence; not full UC acceptance.</x:v>
      </x:c>
    </x:row>
    <x:row r="107" ht="60" customHeight="1">
      <x:c r="A107" s="223" t="str">
        <x:v>UT-103</x:v>
      </x:c>
      <x:c r="B107" s="223" t="str">
        <x:v>UC08, UC09, UC10, UC23, UC24, UC25, UC26, UC30</x:v>
      </x:c>
      <x:c r="C107" s="223" t="str">
        <x:v>SmartLibrary.UnitTests.Features.Circulation.CirculationServiceTests.RequestBorrow_WhenReaderHasOverdueBooks_IsBlockedByPolicy</x:v>
      </x:c>
      <x:c r="D107" s="223" t="str">
        <x:v>apps/api/tests/SmartLibrary.UnitTests/Features/Circulation/CirculationServiceTests.cs:532</x:v>
      </x:c>
      <x:c r="E107" s="223" t="str">
        <x:v>evidence/unit.trx</x:v>
      </x:c>
      <x:c r="F107" s="223" t="str">
        <x:v>Passed</x:v>
      </x:c>
      <x:c r="G107" s="223" t="str">
        <x:v>Module-level supporting evidence; not full UC acceptance.</x:v>
      </x:c>
    </x:row>
    <x:row r="108" ht="60" customHeight="1">
      <x:c r="A108" s="223" t="str">
        <x:v>UT-104</x:v>
      </x:c>
      <x:c r="B108" s="223" t="str">
        <x:v>UC08, UC09, UC10, UC23, UC24, UC25, UC26, UC30</x:v>
      </x:c>
      <x:c r="C108" s="223" t="str">
        <x:v>SmartLibrary.UnitTests.Features.Circulation.CirculationServiceTests.RequestBorrow_WhenSlotCapacityReached_DoesNotClaimCopy</x:v>
      </x:c>
      <x:c r="D108" s="223" t="str">
        <x:v>apps/api/tests/SmartLibrary.UnitTests/Features/Circulation/CirculationServiceTests.cs:517</x:v>
      </x:c>
      <x:c r="E108" s="223" t="str">
        <x:v>evidence/unit.trx</x:v>
      </x:c>
      <x:c r="F108" s="223" t="str">
        <x:v>Passed</x:v>
      </x:c>
      <x:c r="G108" s="223" t="str">
        <x:v>Module-level supporting evidence; not full UC acceptance.</x:v>
      </x:c>
    </x:row>
    <x:row r="109" ht="60" customHeight="1">
      <x:c r="A109" s="223" t="str">
        <x:v>UT-105</x:v>
      </x:c>
      <x:c r="B109" s="223" t="str">
        <x:v>UC08, UC09, UC10, UC23, UC24, UC25, UC26, UC30</x:v>
      </x:c>
      <x:c r="C109" s="223" t="str">
        <x:v>SmartLibrary.UnitTests.Features.Circulation.CirculationServiceTests.Return_PersistsAvailableCopyBeforeReadyReservationIsSelected</x:v>
      </x:c>
      <x:c r="D109" s="223" t="str">
        <x:v>apps/api/tests/SmartLibrary.UnitTests/Features/Circulation/CirculationServiceTests.cs:967</x:v>
      </x:c>
      <x:c r="E109" s="223" t="str">
        <x:v>evidence/unit.trx</x:v>
      </x:c>
      <x:c r="F109" s="223" t="str">
        <x:v>Passed</x:v>
      </x:c>
      <x:c r="G109" s="223" t="str">
        <x:v>Module-level supporting evidence; not full UC acceptance.</x:v>
      </x:c>
    </x:row>
    <x:row r="110" ht="60" customHeight="1">
      <x:c r="A110" s="223" t="str">
        <x:v>UT-106</x:v>
      </x:c>
      <x:c r="B110" s="223" t="str">
        <x:v>UC08, UC09, UC10, UC23, UC24, UC25, UC26, UC30</x:v>
      </x:c>
      <x:c r="C110" s="223" t="str">
        <x:v>SmartLibrary.UnitTests.Features.Circulation.CirculationServiceTests.Return_WhenAlreadyCompleted_Fails</x:v>
      </x:c>
      <x:c r="D110" s="223" t="str">
        <x:v>apps/api/tests/SmartLibrary.UnitTests/Features/Circulation/CirculationServiceTests.cs:720</x:v>
      </x:c>
      <x:c r="E110" s="223" t="str">
        <x:v>evidence/unit.trx</x:v>
      </x:c>
      <x:c r="F110" s="223" t="str">
        <x:v>Passed</x:v>
      </x:c>
      <x:c r="G110" s="223" t="str">
        <x:v>Module-level supporting evidence; not full UC acceptance.</x:v>
      </x:c>
    </x:row>
    <x:row r="111" ht="60" customHeight="1">
      <x:c r="A111" s="223" t="str">
        <x:v>UT-107</x:v>
      </x:c>
      <x:c r="B111" s="223" t="str">
        <x:v>UC08, UC09, UC10, UC23, UC24, UC25, UC26, UC30</x:v>
      </x:c>
      <x:c r="C111" s="223" t="str">
        <x:v>SmartLibrary.UnitTests.Features.Circulation.CirculationServiceTests.Return_WhenLost_OpensIncidentWithoutCompensation</x:v>
      </x:c>
      <x:c r="D111" s="223" t="str">
        <x:v>apps/api/tests/SmartLibrary.UnitTests/Features/Circulation/CirculationServiceTests.cs:327</x:v>
      </x:c>
      <x:c r="E111" s="223" t="str">
        <x:v>evidence/unit.trx</x:v>
      </x:c>
      <x:c r="F111" s="223" t="str">
        <x:v>Passed</x:v>
      </x:c>
      <x:c r="G111" s="223" t="str">
        <x:v>Module-level supporting evidence; not full UC acceptance.</x:v>
      </x:c>
    </x:row>
    <x:row r="112" ht="60" customHeight="1">
      <x:c r="A112" s="223" t="str">
        <x:v>UT-108</x:v>
      </x:c>
      <x:c r="B112" s="223" t="str">
        <x:v>UC08, UC09, UC10, UC23, UC24, UC25, UC26, UC30</x:v>
      </x:c>
      <x:c r="C112" s="223" t="str">
        <x:v>SmartLibrary.UnitTests.Features.Circulation.CirculationServiceTests.Return_WhenOnTime_DoesNotCreateFine</x:v>
      </x:c>
      <x:c r="D112" s="223" t="str">
        <x:v>apps/api/tests/SmartLibrary.UnitTests/Features/Circulation/CirculationServiceTests.cs:666</x:v>
      </x:c>
      <x:c r="E112" s="223" t="str">
        <x:v>evidence/unit.trx</x:v>
      </x:c>
      <x:c r="F112" s="223" t="str">
        <x:v>Passed</x:v>
      </x:c>
      <x:c r="G112" s="223" t="str">
        <x:v>Module-level supporting evidence; not full UC acceptance.</x:v>
      </x:c>
    </x:row>
    <x:row r="113" ht="60" customHeight="1">
      <x:c r="A113" s="223" t="str">
        <x:v>UT-109</x:v>
      </x:c>
      <x:c r="B113" s="223" t="str">
        <x:v>UC08, UC09, UC10, UC23, UC24, UC25, UC26, UC30</x:v>
      </x:c>
      <x:c r="C113" s="223" t="str">
        <x:v>SmartLibrary.UnitTests.Features.Circulation.CirculationServiceTests.Return_WhenOverdueFineAlreadyExists_DoesNotDuplicate</x:v>
      </x:c>
      <x:c r="D113" s="223" t="str">
        <x:v>apps/api/tests/SmartLibrary.UnitTests/Features/Circulation/CirculationServiceTests.cs:1246</x:v>
      </x:c>
      <x:c r="E113" s="223" t="str">
        <x:v>evidence/unit.trx</x:v>
      </x:c>
      <x:c r="F113" s="223" t="str">
        <x:v>Passed</x:v>
      </x:c>
      <x:c r="G113" s="223" t="str">
        <x:v>Module-level supporting evidence; not full UC acceptance.</x:v>
      </x:c>
    </x:row>
    <x:row r="114" ht="60" customHeight="1">
      <x:c r="A114" s="223" t="str">
        <x:v>UT-110</x:v>
      </x:c>
      <x:c r="B114" s="223" t="str">
        <x:v>UC08, UC09, UC10, UC23, UC24, UC25, UC26, UC30</x:v>
      </x:c>
      <x:c r="C114" s="223" t="str">
        <x:v>SmartLibrary.UnitTests.Features.Circulation.CirculationServiceTests.Return_WhenOverdue_CreatesFineOnce</x:v>
      </x:c>
      <x:c r="D114" s="223" t="str">
        <x:v>apps/api/tests/SmartLibrary.UnitTests/Features/Circulation/CirculationServiceTests.cs:691</x:v>
      </x:c>
      <x:c r="E114" s="223" t="str">
        <x:v>evidence/unit.trx</x:v>
      </x:c>
      <x:c r="F114" s="223" t="str">
        <x:v>Passed</x:v>
      </x:c>
      <x:c r="G114" s="223" t="str">
        <x:v>Module-level supporting evidence; not full UC acceptance.</x:v>
      </x:c>
    </x:row>
    <x:row r="115" ht="60" customHeight="1">
      <x:c r="A115" s="223" t="str">
        <x:v>UT-111</x:v>
      </x:c>
      <x:c r="B115" s="223" t="str">
        <x:v>UC08, UC09, UC10, UC23, UC24, UC25, UC26, UC30</x:v>
      </x:c>
      <x:c r="C115" s="223" t="str">
        <x:v>SmartLibrary.UnitTests.Features.Circulation.CirculationServiceTests.SearchBookOptions_TrimsQueryAndLimitsResults</x:v>
      </x:c>
      <x:c r="D115" s="223" t="str">
        <x:v>apps/api/tests/SmartLibrary.UnitTests/Features/Circulation/CirculationServiceTests.cs:96</x:v>
      </x:c>
      <x:c r="E115" s="223" t="str">
        <x:v>evidence/unit.trx</x:v>
      </x:c>
      <x:c r="F115" s="223" t="str">
        <x:v>Passed</x:v>
      </x:c>
      <x:c r="G115" s="223" t="str">
        <x:v>Module-level supporting evidence; not full UC acceptance.</x:v>
      </x:c>
    </x:row>
    <x:row r="116" ht="60" customHeight="1">
      <x:c r="A116" s="223" t="str">
        <x:v>UT-112</x:v>
      </x:c>
      <x:c r="B116" s="223" t="str">
        <x:v>UC08, UC09, UC10, UC23, UC24, UC25, UC26, UC30</x:v>
      </x:c>
      <x:c r="C116" s="223" t="str">
        <x:v>SmartLibrary.UnitTests.Features.Circulation.CirculationServiceTests.SearchReaderOptions_WhenQueryIsShort_ReturnsEmptyWithoutQueryingRepository(search: " S ")</x:v>
      </x:c>
      <x:c r="D116" s="223" t="str">
        <x:v>apps/api/tests/SmartLibrary.UnitTests/Features/Circulation/CirculationServiceTests.cs:85</x:v>
      </x:c>
      <x:c r="E116" s="223" t="str">
        <x:v>evidence/unit.trx</x:v>
      </x:c>
      <x:c r="F116" s="223" t="str">
        <x:v>Passed</x:v>
      </x:c>
      <x:c r="G116" s="223" t="str">
        <x:v>Module-level supporting evidence; not full UC acceptance.</x:v>
      </x:c>
    </x:row>
    <x:row r="117" ht="60" customHeight="1">
      <x:c r="A117" s="223" t="str">
        <x:v>UT-113</x:v>
      </x:c>
      <x:c r="B117" s="223" t="str">
        <x:v>UC08, UC09, UC10, UC23, UC24, UC25, UC26, UC30</x:v>
      </x:c>
      <x:c r="C117" s="223" t="str">
        <x:v>SmartLibrary.UnitTests.Features.Circulation.CirculationServiceTests.SearchReaderOptions_WhenQueryIsShort_ReturnsEmptyWithoutQueryingRepository(search: "")</x:v>
      </x:c>
      <x:c r="D117" s="223" t="str">
        <x:v>apps/api/tests/SmartLibrary.UnitTests/Features/Circulation/CirculationServiceTests.cs:85</x:v>
      </x:c>
      <x:c r="E117" s="223" t="str">
        <x:v>evidence/unit.trx</x:v>
      </x:c>
      <x:c r="F117" s="223" t="str">
        <x:v>Passed</x:v>
      </x:c>
      <x:c r="G117" s="223" t="str">
        <x:v>Module-level supporting evidence; not full UC acceptance.</x:v>
      </x:c>
    </x:row>
    <x:row r="118" ht="60" customHeight="1">
      <x:c r="A118" s="223" t="str">
        <x:v>UT-114</x:v>
      </x:c>
      <x:c r="B118" s="223" t="str">
        <x:v>UC08, UC09, UC10, UC23, UC24, UC25, UC26, UC30</x:v>
      </x:c>
      <x:c r="C118" s="223" t="str">
        <x:v>SmartLibrary.UnitTests.Features.Circulation.CirculationServiceTests.SearchReaderOptions_WhenQueryIsShort_ReturnsEmptyWithoutQueryingRepository(search: null)</x:v>
      </x:c>
      <x:c r="D118" s="223" t="str">
        <x:v>apps/api/tests/SmartLibrary.UnitTests/Features/Circulation/CirculationServiceTests.cs:85</x:v>
      </x:c>
      <x:c r="E118" s="223" t="str">
        <x:v>evidence/unit.trx</x:v>
      </x:c>
      <x:c r="F118" s="223" t="str">
        <x:v>Passed</x:v>
      </x:c>
      <x:c r="G118" s="223" t="str">
        <x:v>Module-level supporting evidence; not full UC acceptance.</x:v>
      </x:c>
    </x:row>
    <x:row r="119" ht="60" customHeight="1">
      <x:c r="A119" s="223" t="str">
        <x:v>UT-115</x:v>
      </x:c>
      <x:c r="B119" s="223" t="str">
        <x:v>UC17, UC31</x:v>
      </x:c>
      <x:c r="C119" s="223" t="str">
        <x:v>SmartLibrary.UnitTests.Features.Notifications.AiCredentialAlertTests.Classify_DetectsKeyAndQuotaErrors(message: "API_KEY_INVALID", expected: "ai-key")</x:v>
      </x:c>
      <x:c r="D119" s="223" t="str">
        <x:v>apps/api/tests/SmartLibrary.UnitTests/Features/Notifications/AiCredentialAlertTests.cs:13</x:v>
      </x:c>
      <x:c r="E119" s="223" t="str">
        <x:v>evidence/unit.trx</x:v>
      </x:c>
      <x:c r="F119" s="223" t="str">
        <x:v>Passed</x:v>
      </x:c>
      <x:c r="G119" s="223" t="str">
        <x:v>Module-level supporting evidence; not full UC acceptance.</x:v>
      </x:c>
    </x:row>
    <x:row r="120" ht="60" customHeight="1">
      <x:c r="A120" s="223" t="str">
        <x:v>UT-116</x:v>
      </x:c>
      <x:c r="B120" s="223" t="str">
        <x:v>UC17, UC31</x:v>
      </x:c>
      <x:c r="C120" s="223" t="str">
        <x:v>SmartLibrary.UnitTests.Features.Notifications.AiCredentialAlertTests.Classify_DetectsKeyAndQuotaErrors(message: "Gemini: API Key không hợp lệ hoặc đã bị thu hồi.", expected: "ai-key")</x:v>
      </x:c>
      <x:c r="D120" s="223" t="str">
        <x:v>apps/api/tests/SmartLibrary.UnitTests/Features/Notifications/AiCredentialAlertTests.cs:13</x:v>
      </x:c>
      <x:c r="E120" s="223" t="str">
        <x:v>evidence/unit.trx</x:v>
      </x:c>
      <x:c r="F120" s="223" t="str">
        <x:v>Passed</x:v>
      </x:c>
      <x:c r="G120" s="223" t="str">
        <x:v>Module-level supporting evidence; not full UC acceptance.</x:v>
      </x:c>
    </x:row>
    <x:row r="121" ht="60" customHeight="1">
      <x:c r="A121" s="223" t="str">
        <x:v>UT-117</x:v>
      </x:c>
      <x:c r="B121" s="223" t="str">
        <x:v>UC17, UC31</x:v>
      </x:c>
      <x:c r="C121" s="223" t="str">
        <x:v>SmartLibrary.UnitTests.Features.Notifications.AiCredentialAlertTests.Classify_DetectsKeyAndQuotaErrors(message: "Gemini: hết hạn mức hoặc bị giới hạn tốc độ. Thử l"···, expected: "ai-quota")</x:v>
      </x:c>
      <x:c r="D121" s="223" t="str">
        <x:v>apps/api/tests/SmartLibrary.UnitTests/Features/Notifications/AiCredentialAlertTests.cs:13</x:v>
      </x:c>
      <x:c r="E121" s="223" t="str">
        <x:v>evidence/unit.trx</x:v>
      </x:c>
      <x:c r="F121" s="223" t="str">
        <x:v>Passed</x:v>
      </x:c>
      <x:c r="G121" s="223" t="str">
        <x:v>Module-level supporting evidence; not full UC acceptance.</x:v>
      </x:c>
    </x:row>
    <x:row r="122" ht="60" customHeight="1">
      <x:c r="A122" s="223" t="str">
        <x:v>UT-118</x:v>
      </x:c>
      <x:c r="B122" s="223" t="str">
        <x:v>UC17, UC31</x:v>
      </x:c>
      <x:c r="C122" s="223" t="str">
        <x:v>SmartLibrary.UnitTests.Features.Notifications.AiCredentialAlertTests.Classify_DetectsKeyAndQuotaErrors(message: "RESOURCE_EXHAUSTED quota", expected: "ai-quota")</x:v>
      </x:c>
      <x:c r="D122" s="223" t="str">
        <x:v>apps/api/tests/SmartLibrary.UnitTests/Features/Notifications/AiCredentialAlertTests.cs:13</x:v>
      </x:c>
      <x:c r="E122" s="223" t="str">
        <x:v>evidence/unit.trx</x:v>
      </x:c>
      <x:c r="F122" s="223" t="str">
        <x:v>Passed</x:v>
      </x:c>
      <x:c r="G122" s="223" t="str">
        <x:v>Module-level supporting evidence; not full UC acceptance.</x:v>
      </x:c>
    </x:row>
    <x:row r="123" ht="60" customHeight="1">
      <x:c r="A123" s="223" t="str">
        <x:v>UT-119</x:v>
      </x:c>
      <x:c r="B123" s="223" t="str">
        <x:v>UC17, UC31</x:v>
      </x:c>
      <x:c r="C123" s="223" t="str">
        <x:v>SmartLibrary.UnitTests.Features.Notifications.AiCredentialAlertTests.Classify_IgnoresUnrelatedErrors</x:v>
      </x:c>
      <x:c r="D123" s="223" t="str">
        <x:v>apps/api/tests/SmartLibrary.UnitTests/Features/Notifications/AiCredentialAlertTests.cs:17</x:v>
      </x:c>
      <x:c r="E123" s="223" t="str">
        <x:v>evidence/unit.trx</x:v>
      </x:c>
      <x:c r="F123" s="223" t="str">
        <x:v>Passed</x:v>
      </x:c>
      <x:c r="G123" s="223" t="str">
        <x:v>Module-level supporting evidence; not full UC acceptance.</x:v>
      </x:c>
    </x:row>
    <x:row r="124" ht="60" customHeight="1">
      <x:c r="A124" s="223" t="str">
        <x:v>UT-120</x:v>
      </x:c>
      <x:c r="B124" s="223" t="str">
        <x:v>UC17, UC31</x:v>
      </x:c>
      <x:c r="C124" s="223" t="str">
        <x:v>SmartLibrary.UnitTests.Features.Notifications.NotificationInboxTests.Map_FallsBackToTypeRoute_WhenMetadataIsMissingOrInvalid(type: "fine_paid", expectedHref: "/history?tab=fines")</x:v>
      </x:c>
      <x:c r="D124" s="223" t="str">
        <x:v>apps/api/tests/SmartLibrary.UnitTests/Features/Notifications/NotificationInboxTests.cs:58</x:v>
      </x:c>
      <x:c r="E124" s="223" t="str">
        <x:v>evidence/unit.trx</x:v>
      </x:c>
      <x:c r="F124" s="223" t="str">
        <x:v>Passed</x:v>
      </x:c>
      <x:c r="G124" s="223" t="str">
        <x:v>Module-level supporting evidence; not full UC acceptance.</x:v>
      </x:c>
    </x:row>
    <x:row r="125" ht="60" customHeight="1">
      <x:c r="A125" s="223" t="str">
        <x:v>UT-121</x:v>
      </x:c>
      <x:c r="B125" s="223" t="str">
        <x:v>UC17, UC31</x:v>
      </x:c>
      <x:c r="C125" s="223" t="str">
        <x:v>SmartLibrary.UnitTests.Features.Notifications.NotificationInboxTests.Map_FallsBackToTypeRoute_WhenMetadataIsMissingOrInvalid(type: "membership_expiring", expectedHref: "/profile")</x:v>
      </x:c>
      <x:c r="D125" s="223" t="str">
        <x:v>apps/api/tests/SmartLibrary.UnitTests/Features/Notifications/NotificationInboxTests.cs:58</x:v>
      </x:c>
      <x:c r="E125" s="223" t="str">
        <x:v>evidence/unit.trx</x:v>
      </x:c>
      <x:c r="F125" s="223" t="str">
        <x:v>Passed</x:v>
      </x:c>
      <x:c r="G125" s="223" t="str">
        <x:v>Module-level supporting evidence; not full UC acceptance.</x:v>
      </x:c>
    </x:row>
    <x:row r="126" ht="60" customHeight="1">
      <x:c r="A126" s="223" t="str">
        <x:v>UT-122</x:v>
      </x:c>
      <x:c r="B126" s="223" t="str">
        <x:v>UC17, UC31</x:v>
      </x:c>
      <x:c r="C126" s="223" t="str">
        <x:v>SmartLibrary.UnitTests.Features.Notifications.NotificationInboxTests.Map_FallsBackToTypeRoute_WhenMetadataIsMissingOrInvalid(type: "renewal", expectedHref: "/history?tab=loans")</x:v>
      </x:c>
      <x:c r="D126" s="223" t="str">
        <x:v>apps/api/tests/SmartLibrary.UnitTests/Features/Notifications/NotificationInboxTests.cs:58</x:v>
      </x:c>
      <x:c r="E126" s="223" t="str">
        <x:v>evidence/unit.trx</x:v>
      </x:c>
      <x:c r="F126" s="223" t="str">
        <x:v>Passed</x:v>
      </x:c>
      <x:c r="G126" s="223" t="str">
        <x:v>Module-level supporting evidence; not full UC acceptance.</x:v>
      </x:c>
    </x:row>
    <x:row r="127" ht="60" customHeight="1">
      <x:c r="A127" s="223" t="str">
        <x:v>UT-123</x:v>
      </x:c>
      <x:c r="B127" s="223" t="str">
        <x:v>UC17, UC31</x:v>
      </x:c>
      <x:c r="C127" s="223" t="str">
        <x:v>SmartLibrary.UnitTests.Features.Notifications.NotificationInboxTests.Map_UsesHrefStoredInMetadata</x:v>
      </x:c>
      <x:c r="D127" s="223" t="str">
        <x:v>apps/api/tests/SmartLibrary.UnitTests/Features/Notifications/NotificationInboxTests.cs:39</x:v>
      </x:c>
      <x:c r="E127" s="223" t="str">
        <x:v>evidence/unit.trx</x:v>
      </x:c>
      <x:c r="F127" s="223" t="str">
        <x:v>Passed</x:v>
      </x:c>
      <x:c r="G127" s="223" t="str">
        <x:v>Module-level supporting evidence; not full UC acceptance.</x:v>
      </x:c>
    </x:row>
    <x:row r="128" ht="60" customHeight="1">
      <x:c r="A128" s="223" t="str">
        <x:v>UT-124</x:v>
      </x:c>
      <x:c r="B128" s="223" t="str">
        <x:v>UC17, UC31</x:v>
      </x:c>
      <x:c r="C128" s="223" t="str">
        <x:v>SmartLibrary.UnitTests.Features.Notifications.NotificationInboxTests.NotifyAiCredentialAsync_DoesNotInsertWhenUnreadDuplicateExists</x:v>
      </x:c>
      <x:c r="D128" s="223" t="str">
        <x:v>apps/api/tests/SmartLibrary.UnitTests/Features/Notifications/NotificationInboxTests.cs:23</x:v>
      </x:c>
      <x:c r="E128" s="223" t="str">
        <x:v>evidence/unit.trx</x:v>
      </x:c>
      <x:c r="F128" s="223" t="str">
        <x:v>Passed</x:v>
      </x:c>
      <x:c r="G128" s="223" t="str">
        <x:v>Module-level supporting evidence; not full UC acceptance.</x:v>
      </x:c>
    </x:row>
    <x:row r="129" ht="60" customHeight="1">
      <x:c r="A129" s="223" t="str">
        <x:v>UT-125</x:v>
      </x:c>
      <x:c r="B129" s="223" t="str">
        <x:v>UC17, UC31</x:v>
      </x:c>
      <x:c r="C129" s="223" t="str">
        <x:v>SmartLibrary.UnitTests.Features.Notifications.NotificationInboxTests.NotifyAiCredentialAsync_SkipsUnrelatedErrors</x:v>
      </x:c>
      <x:c r="D129" s="223" t="str">
        <x:v>apps/api/tests/SmartLibrary.UnitTests/Features/Notifications/NotificationInboxTests.cs:12</x:v>
      </x:c>
      <x:c r="E129" s="223" t="str">
        <x:v>evidence/unit.trx</x:v>
      </x:c>
      <x:c r="F129" s="223" t="str">
        <x:v>Passed</x:v>
      </x:c>
      <x:c r="G129" s="223" t="str">
        <x:v>Module-level supporting evidence; not full UC acceptance.</x:v>
      </x:c>
    </x:row>
    <x:row r="130" ht="60" customHeight="1">
      <x:c r="A130" s="223" t="str">
        <x:v>UT-126</x:v>
      </x:c>
      <x:c r="B130" s="223" t="str">
        <x:v>UC35</x:v>
      </x:c>
      <x:c r="C130" s="223" t="str">
        <x:v>SmartLibrary.UnitTests.Features.Policies.PolicyParameterRulesTests.Validate_AcceptsPositiveBorrowDays</x:v>
      </x:c>
      <x:c r="D130" s="223" t="str">
        <x:v>apps/api/tests/SmartLibrary.UnitTests/Features/Policies/PolicyParameterRulesTests.cs:10</x:v>
      </x:c>
      <x:c r="E130" s="223" t="str">
        <x:v>evidence/unit.trx</x:v>
      </x:c>
      <x:c r="F130" s="223" t="str">
        <x:v>Passed</x:v>
      </x:c>
      <x:c r="G130" s="223" t="str">
        <x:v>Module-level supporting evidence; not full UC acceptance.</x:v>
      </x:c>
    </x:row>
    <x:row r="131" ht="60" customHeight="1">
      <x:c r="A131" s="223" t="str">
        <x:v>UT-127</x:v>
      </x:c>
      <x:c r="B131" s="223" t="str">
        <x:v>UC35</x:v>
      </x:c>
      <x:c r="C131" s="223" t="str">
        <x:v>SmartLibrary.UnitTests.Features.Policies.PolicyParameterRulesTests.Validate_ActiveBorrowDurationRequiresMaxDays</x:v>
      </x:c>
      <x:c r="D131" s="223" t="str">
        <x:v>apps/api/tests/SmartLibrary.UnitTests/Features/Policies/PolicyParameterRulesTests.cs:35</x:v>
      </x:c>
      <x:c r="E131" s="223" t="str">
        <x:v>evidence/unit.trx</x:v>
      </x:c>
      <x:c r="F131" s="223" t="str">
        <x:v>Passed</x:v>
      </x:c>
      <x:c r="G131" s="223" t="str">
        <x:v>Module-level supporting evidence; not full UC acceptance.</x:v>
      </x:c>
    </x:row>
    <x:row r="132" ht="60" customHeight="1">
      <x:c r="A132" s="223" t="str">
        <x:v>UT-128</x:v>
      </x:c>
      <x:c r="B132" s="223" t="str">
        <x:v>UC35</x:v>
      </x:c>
      <x:c r="C132" s="223" t="str">
        <x:v>SmartLibrary.UnitTests.Features.Policies.PolicyParameterRulesTests.Validate_ActiveFineFeeAcceptsLegacyFeeKeys</x:v>
      </x:c>
      <x:c r="D132" s="223" t="str">
        <x:v>apps/api/tests/SmartLibrary.UnitTests/Features/Policies/PolicyParameterRulesTests.cs:55</x:v>
      </x:c>
      <x:c r="E132" s="223" t="str">
        <x:v>evidence/unit.trx</x:v>
      </x:c>
      <x:c r="F132" s="223" t="str">
        <x:v>Passed</x:v>
      </x:c>
      <x:c r="G132" s="223" t="str">
        <x:v>Module-level supporting evidence; not full UC acceptance.</x:v>
      </x:c>
    </x:row>
    <x:row r="133" ht="60" customHeight="1">
      <x:c r="A133" s="223" t="str">
        <x:v>UT-129</x:v>
      </x:c>
      <x:c r="B133" s="223" t="str">
        <x:v>UC35</x:v>
      </x:c>
      <x:c r="C133" s="223" t="str">
        <x:v>SmartLibrary.UnitTests.Features.Policies.PolicyParameterRulesTests.Validate_ActiveFineFeeRequiresAllFees</x:v>
      </x:c>
      <x:c r="D133" s="223" t="str">
        <x:v>apps/api/tests/SmartLibrary.UnitTests/Features/Policies/PolicyParameterRulesTests.cs:44</x:v>
      </x:c>
      <x:c r="E133" s="223" t="str">
        <x:v>evidence/unit.trx</x:v>
      </x:c>
      <x:c r="F133" s="223" t="str">
        <x:v>Passed</x:v>
      </x:c>
      <x:c r="G133" s="223" t="str">
        <x:v>Module-level supporting evidence; not full UC acceptance.</x:v>
      </x:c>
    </x:row>
    <x:row r="134" ht="60" customHeight="1">
      <x:c r="A134" s="223" t="str">
        <x:v>UT-130</x:v>
      </x:c>
      <x:c r="B134" s="223" t="str">
        <x:v>UC35</x:v>
      </x:c>
      <x:c r="C134" s="223" t="str">
        <x:v>SmartLibrary.UnitTests.Features.Policies.PolicyParameterRulesTests.Validate_RejectsOutOfRangeFee</x:v>
      </x:c>
      <x:c r="D134" s="223" t="str">
        <x:v>apps/api/tests/SmartLibrary.UnitTests/Features/Policies/PolicyParameterRulesTests.cs:27</x:v>
      </x:c>
      <x:c r="E134" s="223" t="str">
        <x:v>evidence/unit.trx</x:v>
      </x:c>
      <x:c r="F134" s="223" t="str">
        <x:v>Passed</x:v>
      </x:c>
      <x:c r="G134" s="223" t="str">
        <x:v>Module-level supporting evidence; not full UC acceptance.</x:v>
      </x:c>
    </x:row>
    <x:row r="135" ht="60" customHeight="1">
      <x:c r="A135" s="223" t="str">
        <x:v>UT-131</x:v>
      </x:c>
      <x:c r="B135" s="223" t="str">
        <x:v>UC35</x:v>
      </x:c>
      <x:c r="C135" s="223" t="str">
        <x:v>SmartLibrary.UnitTests.Features.Policies.PolicyParameterRulesTests.Validate_RejectsZeroOrTextDays</x:v>
      </x:c>
      <x:c r="D135" s="223" t="str">
        <x:v>apps/api/tests/SmartLibrary.UnitTests/Features/Policies/PolicyParameterRulesTests.cs:19</x:v>
      </x:c>
      <x:c r="E135" s="223" t="str">
        <x:v>evidence/unit.trx</x:v>
      </x:c>
      <x:c r="F135" s="223" t="str">
        <x:v>Passed</x:v>
      </x:c>
      <x:c r="G135" s="223" t="str">
        <x:v>Module-level supporting evidence; not full UC acceptance.</x:v>
      </x:c>
    </x:row>
    <x:row r="136" ht="60" customHeight="1">
      <x:c r="A136" s="223" t="str">
        <x:v>UT-132</x:v>
      </x:c>
      <x:c r="B136" s="223" t="str">
        <x:v>UC06, UC40</x:v>
      </x:c>
      <x:c r="C136" s="223" t="str">
        <x:v>SmartLibrary.UnitTests.Features.Rag.RagSemanticEnhancementTests.BookKeywordRanker_ScoresHigher_WhenCrossLingualSynonymsMatch</x:v>
      </x:c>
      <x:c r="D136" s="223" t="str">
        <x:v>apps/api/tests/SmartLibrary.UnitTests/Features/Rag/RagSemanticEnhancementTests.cs:80</x:v>
      </x:c>
      <x:c r="E136" s="223" t="str">
        <x:v>evidence/unit.trx</x:v>
      </x:c>
      <x:c r="F136" s="223" t="str">
        <x:v>Passed</x:v>
      </x:c>
      <x:c r="G136" s="223" t="str">
        <x:v>Module-level supporting evidence; not full UC acceptance.</x:v>
      </x:c>
    </x:row>
    <x:row r="137" ht="60" customHeight="1">
      <x:c r="A137" s="223" t="str">
        <x:v>UT-133</x:v>
      </x:c>
      <x:c r="B137" s="223" t="str">
        <x:v>UC06, UC40</x:v>
      </x:c>
      <x:c r="C137" s="223" t="str">
        <x:v>SmartLibrary.UnitTests.Features.Rag.RagSemanticEnhancementTests.QueryExpander_Expand_EnrichesAiQuery</x:v>
      </x:c>
      <x:c r="D137" s="223" t="str">
        <x:v>apps/api/tests/SmartLibrary.UnitTests/Features/Rag/RagSemanticEnhancementTests.cs:54</x:v>
      </x:c>
      <x:c r="E137" s="223" t="str">
        <x:v>evidence/unit.trx</x:v>
      </x:c>
      <x:c r="F137" s="223" t="str">
        <x:v>Passed</x:v>
      </x:c>
      <x:c r="G137" s="223" t="str">
        <x:v>Module-level supporting evidence; not full UC acceptance.</x:v>
      </x:c>
    </x:row>
    <x:row r="138" ht="60" customHeight="1">
      <x:c r="A138" s="223" t="str">
        <x:v>UT-134</x:v>
      </x:c>
      <x:c r="B138" s="223" t="str">
        <x:v>UC06, UC40</x:v>
      </x:c>
      <x:c r="C138" s="223" t="str">
        <x:v>SmartLibrary.UnitTests.Features.Rag.RagSemanticEnhancementTests.QueryExpander_Expand_EnrichesProgrammingQuery</x:v>
      </x:c>
      <x:c r="D138" s="223" t="str">
        <x:v>apps/api/tests/SmartLibrary.UnitTests/Features/Rag/RagSemanticEnhancementTests.cs:45</x:v>
      </x:c>
      <x:c r="E138" s="223" t="str">
        <x:v>evidence/unit.trx</x:v>
      </x:c>
      <x:c r="F138" s="223" t="str">
        <x:v>Passed</x:v>
      </x:c>
      <x:c r="G138" s="223" t="str">
        <x:v>Module-level supporting evidence; not full UC acceptance.</x:v>
      </x:c>
    </x:row>
    <x:row r="139" ht="60" customHeight="1">
      <x:c r="A139" s="223" t="str">
        <x:v>UT-135</x:v>
      </x:c>
      <x:c r="B139" s="223" t="str">
        <x:v>UC06, UC40</x:v>
      </x:c>
      <x:c r="C139" s="223" t="str">
        <x:v>SmartLibrary.UnitTests.Features.Rag.RagSemanticEnhancementTests.SearchTopicGuard_Allows_MatchesViaSynonyms</x:v>
      </x:c>
      <x:c r="D139" s="223" t="str">
        <x:v>apps/api/tests/SmartLibrary.UnitTests/Features/Rag/RagSemanticEnhancementTests.cs:62</x:v>
      </x:c>
      <x:c r="E139" s="223" t="str">
        <x:v>evidence/unit.trx</x:v>
      </x:c>
      <x:c r="F139" s="223" t="str">
        <x:v>Passed</x:v>
      </x:c>
      <x:c r="G139" s="223" t="str">
        <x:v>Module-level supporting evidence; not full UC acceptance.</x:v>
      </x:c>
    </x:row>
    <x:row r="140" ht="60" customHeight="1">
      <x:c r="A140" s="223" t="str">
        <x:v>UT-136</x:v>
      </x:c>
      <x:c r="B140" s="223" t="str">
        <x:v>UC06, UC40</x:v>
      </x:c>
      <x:c r="C140" s="223" t="str">
        <x:v>SmartLibrary.UnitTests.Features.Rag.RagSemanticEnhancementTests.SemanticSynonyms_Expand_ReturnsExpectedSynonyms</x:v>
      </x:c>
      <x:c r="D140" s="223" t="str">
        <x:v>apps/api/tests/SmartLibrary.UnitTests/Features/Rag/RagSemanticEnhancementTests.cs:10</x:v>
      </x:c>
      <x:c r="E140" s="223" t="str">
        <x:v>evidence/unit.trx</x:v>
      </x:c>
      <x:c r="F140" s="223" t="str">
        <x:v>Passed</x:v>
      </x:c>
      <x:c r="G140" s="223" t="str">
        <x:v>Module-level supporting evidence; not full UC acceptance.</x:v>
      </x:c>
    </x:row>
    <x:row r="141" ht="60" customHeight="1">
      <x:c r="A141" s="223" t="str">
        <x:v>UT-137</x:v>
      </x:c>
      <x:c r="B141" s="223" t="str">
        <x:v>UC06, UC40</x:v>
      </x:c>
      <x:c r="C141" s="223" t="str">
        <x:v>SmartLibrary.UnitTests.Features.Rag.RagSemanticEnhancementTests.SemanticSynonyms_HasSynonymMatch_DetectsCrossLingualMatch</x:v>
      </x:c>
      <x:c r="D141" s="223" t="str">
        <x:v>apps/api/tests/SmartLibrary.UnitTests/Features/Rag/RagSemanticEnhancementTests.cs:26</x:v>
      </x:c>
      <x:c r="E141" s="223" t="str">
        <x:v>evidence/unit.trx</x:v>
      </x:c>
      <x:c r="F141" s="223" t="str">
        <x:v>Passed</x:v>
      </x:c>
      <x:c r="G141" s="223" t="str">
        <x:v>Module-level supporting evidence; not full UC acceptance.</x:v>
      </x:c>
    </x:row>
    <x:row r="142" ht="60" customHeight="1">
      <x:c r="A142" s="223" t="str">
        <x:v>UT-138</x:v>
      </x:c>
      <x:c r="B142" s="223" t="str">
        <x:v>UC06, UC40</x:v>
      </x:c>
      <x:c r="C142" s="223" t="str">
        <x:v>SmartLibrary.UnitTests.Features.Rag.RagServiceTests.AskAsync_CSharpSearchFiltersUnrelatedVectorHitsAndExpandsEmbeddingQuery</x:v>
      </x:c>
      <x:c r="D142" s="223" t="str">
        <x:v>apps/api/tests/SmartLibrary.UnitTests/Features/Rag/RagServiceTests.cs:112</x:v>
      </x:c>
      <x:c r="E142" s="223" t="str">
        <x:v>evidence/unit.trx</x:v>
      </x:c>
      <x:c r="F142" s="223" t="str">
        <x:v>Passed</x:v>
      </x:c>
      <x:c r="G142" s="223" t="str">
        <x:v>Module-level supporting evidence; not full UC acceptance.</x:v>
      </x:c>
    </x:row>
    <x:row r="143" ht="60" customHeight="1">
      <x:c r="A143" s="223" t="str">
        <x:v>UT-139</x:v>
      </x:c>
      <x:c r="B143" s="223" t="str">
        <x:v>UC06, UC40</x:v>
      </x:c>
      <x:c r="C143" s="223" t="str">
        <x:v>SmartLibrary.UnitTests.Features.Rag.RagServiceTests.AskAsync_EnglishGrammarQuery_ReturnsEnglishGrammar</x:v>
      </x:c>
      <x:c r="D143" s="223" t="str">
        <x:v>apps/api/tests/SmartLibrary.UnitTests/Features/Rag/RagServiceTests.cs:905</x:v>
      </x:c>
      <x:c r="E143" s="223" t="str">
        <x:v>evidence/unit.trx</x:v>
      </x:c>
      <x:c r="F143" s="223" t="str">
        <x:v>Passed</x:v>
      </x:c>
      <x:c r="G143" s="223" t="str">
        <x:v>Module-level supporting evidence; not full UC acceptance.</x:v>
      </x:c>
    </x:row>
    <x:row r="144" ht="60" customHeight="1">
      <x:c r="A144" s="223" t="str">
        <x:v>UT-140</x:v>
      </x:c>
      <x:c r="B144" s="223" t="str">
        <x:v>UC06, UC40</x:v>
      </x:c>
      <x:c r="C144" s="223" t="str">
        <x:v>SmartLibrary.UnitTests.Features.Rag.RagServiceTests.AskAsync_EnglishLanguageLearning_UsesSemanticSearchAndOnlyReturnsRelevantCatalogBooks</x:v>
      </x:c>
      <x:c r="D144" s="223" t="str">
        <x:v>apps/api/tests/SmartLibrary.UnitTests/Features/Rag/RagServiceTests.cs:176</x:v>
      </x:c>
      <x:c r="E144" s="223" t="str">
        <x:v>evidence/unit.trx</x:v>
      </x:c>
      <x:c r="F144" s="223" t="str">
        <x:v>Passed</x:v>
      </x:c>
      <x:c r="G144" s="223" t="str">
        <x:v>Module-level supporting evidence; not full UC acceptance.</x:v>
      </x:c>
    </x:row>
    <x:row r="145" ht="60" customHeight="1">
      <x:c r="A145" s="223" t="str">
        <x:v>UT-141</x:v>
      </x:c>
      <x:c r="B145" s="223" t="str">
        <x:v>UC06, UC40</x:v>
      </x:c>
      <x:c r="C145" s="223" t="str">
        <x:v>SmartLibrary.UnitTests.Features.Rag.RagServiceTests.AskAsync_GenericSemanticQuery_KeepsRelevantVectorMatchWithoutExactKeywordOverlap</x:v>
      </x:c>
      <x:c r="D145" s="223" t="str">
        <x:v>apps/api/tests/SmartLibrary.UnitTests/Features/Rag/RagServiceTests.cs:325</x:v>
      </x:c>
      <x:c r="E145" s="223" t="str">
        <x:v>evidence/unit.trx</x:v>
      </x:c>
      <x:c r="F145" s="223" t="str">
        <x:v>Passed</x:v>
      </x:c>
      <x:c r="G145" s="223" t="str">
        <x:v>Module-level supporting evidence; not full UC acceptance.</x:v>
      </x:c>
    </x:row>
    <x:row r="146" ht="60" customHeight="1">
      <x:c r="A146" s="223" t="str">
        <x:v>UT-142</x:v>
      </x:c>
      <x:c r="B146" s="223" t="str">
        <x:v>UC06, UC40</x:v>
      </x:c>
      <x:c r="C146" s="223" t="str">
        <x:v>SmartLibrary.UnitTests.Features.Rag.RagServiceTests.AskAsync_HardwareAndDiscreteMathProse_ReturnsOnlyRosenInSources</x:v>
      </x:c>
      <x:c r="D146" s="223" t="str">
        <x:v>apps/api/tests/SmartLibrary.UnitTests/Features/Rag/RagServiceTests.cs:982</x:v>
      </x:c>
      <x:c r="E146" s="223" t="str">
        <x:v>evidence/unit.trx</x:v>
      </x:c>
      <x:c r="F146" s="223" t="str">
        <x:v>Passed</x:v>
      </x:c>
      <x:c r="G146" s="223" t="str">
        <x:v>Module-level supporting evidence; not full UC acceptance.</x:v>
      </x:c>
    </x:row>
    <x:row r="147" ht="60" customHeight="1">
      <x:c r="A147" s="223" t="str">
        <x:v>UT-143</x:v>
      </x:c>
      <x:c r="B147" s="223" t="str">
        <x:v>UC06, UC40</x:v>
      </x:c>
      <x:c r="C147" s="223" t="str">
        <x:v>SmartLibrary.UnitTests.Features.Rag.RagServiceTests.AskAsync_JapaneseBusinessVocab_KeepsMatchingBook</x:v>
      </x:c>
      <x:c r="D147" s="223" t="str">
        <x:v>apps/api/tests/SmartLibrary.UnitTests/Features/Rag/RagServiceTests.cs:867</x:v>
      </x:c>
      <x:c r="E147" s="223" t="str">
        <x:v>evidence/unit.trx</x:v>
      </x:c>
      <x:c r="F147" s="223" t="str">
        <x:v>Passed</x:v>
      </x:c>
      <x:c r="G147" s="223" t="str">
        <x:v>Module-level supporting evidence; not full UC acceptance.</x:v>
      </x:c>
    </x:row>
    <x:row r="148" ht="60" customHeight="1">
      <x:c r="A148" s="223" t="str">
        <x:v>UT-144</x:v>
      </x:c>
      <x:c r="B148" s="223" t="str">
        <x:v>UC06, UC40</x:v>
      </x:c>
      <x:c r="C148" s="223" t="str">
        <x:v>SmartLibrary.UnitTests.Features.Rag.RagServiceTests.AskAsync_JapaneseEsp_DoesNotReturnPythonOrEnglishGrammar</x:v>
      </x:c>
      <x:c r="D148" s="223" t="str">
        <x:v>apps/api/tests/SmartLibrary.UnitTests/Features/Rag/RagServiceTests.cs:823</x:v>
      </x:c>
      <x:c r="E148" s="223" t="str">
        <x:v>evidence/unit.trx</x:v>
      </x:c>
      <x:c r="F148" s="223" t="str">
        <x:v>Passed</x:v>
      </x:c>
      <x:c r="G148" s="223" t="str">
        <x:v>Module-level supporting evidence; not full UC acceptance.</x:v>
      </x:c>
    </x:row>
    <x:row r="149" ht="60" customHeight="1">
      <x:c r="A149" s="223" t="str">
        <x:v>UT-145</x:v>
      </x:c>
      <x:c r="B149" s="223" t="str">
        <x:v>UC06, UC40</x:v>
      </x:c>
      <x:c r="C149" s="223" t="str">
        <x:v>SmartLibrary.UnitTests.Features.Rag.RagServiceTests.AskAsync_JapaneseIt_KeepsJapaneseItBookOnly</x:v>
      </x:c>
      <x:c r="D149" s="223" t="str">
        <x:v>apps/api/tests/SmartLibrary.UnitTests/Features/Rag/RagServiceTests.cs:847</x:v>
      </x:c>
      <x:c r="E149" s="223" t="str">
        <x:v>evidence/unit.trx</x:v>
      </x:c>
      <x:c r="F149" s="223" t="str">
        <x:v>Passed</x:v>
      </x:c>
      <x:c r="G149" s="223" t="str">
        <x:v>Module-level supporting evidence; not full UC acceptance.</x:v>
      </x:c>
    </x:row>
    <x:row r="150" ht="60" customHeight="1">
      <x:c r="A150" s="223" t="str">
        <x:v>UT-146</x:v>
      </x:c>
      <x:c r="B150" s="223" t="str">
        <x:v>UC06, UC40</x:v>
      </x:c>
      <x:c r="C150" s="223" t="str">
        <x:v>SmartLibrary.UnitTests.Features.Rag.RagServiceTests.AskAsync_JapaneseQuery_WhenLibraryHasNoJapanese_ReturnsEmpty</x:v>
      </x:c>
      <x:c r="D150" s="223" t="str">
        <x:v>apps/api/tests/SmartLibrary.UnitTests/Features/Rag/RagServiceTests.cs:944</x:v>
      </x:c>
      <x:c r="E150" s="223" t="str">
        <x:v>evidence/unit.trx</x:v>
      </x:c>
      <x:c r="F150" s="223" t="str">
        <x:v>Passed</x:v>
      </x:c>
      <x:c r="G150" s="223" t="str">
        <x:v>Module-level supporting evidence; not full UC acceptance.</x:v>
      </x:c>
    </x:row>
    <x:row r="151" ht="60" customHeight="1">
      <x:c r="A151" s="223" t="str">
        <x:v>UT-147</x:v>
      </x:c>
      <x:c r="B151" s="223" t="str">
        <x:v>UC06, UC40</x:v>
      </x:c>
      <x:c r="C151" s="223" t="str">
        <x:v>SmartLibrary.UnitTests.Features.Rag.RagServiceTests.AskAsync_KoreanLanguageLearning_FindsKoreanTitleWithEnglishMetadataLanguage</x:v>
      </x:c>
      <x:c r="D151" s="223" t="str">
        <x:v>apps/api/tests/SmartLibrary.UnitTests/Features/Rag/RagServiceTests.cs:272</x:v>
      </x:c>
      <x:c r="E151" s="223" t="str">
        <x:v>evidence/unit.trx</x:v>
      </x:c>
      <x:c r="F151" s="223" t="str">
        <x:v>Passed</x:v>
      </x:c>
      <x:c r="G151" s="223" t="str">
        <x:v>Module-level supporting evidence; not full UC acceptance.</x:v>
      </x:c>
    </x:row>
    <x:row r="152" ht="60" customHeight="1">
      <x:c r="A152" s="223" t="str">
        <x:v>UT-148</x:v>
      </x:c>
      <x:c r="B152" s="223" t="str">
        <x:v>UC06, UC40</x:v>
      </x:c>
      <x:c r="C152" s="223" t="str">
        <x:v>SmartLibrary.UnitTests.Features.Rag.RagServiceTests.AskAsync_PythonQuery_ReturnsPythonNotJapanese</x:v>
      </x:c>
      <x:c r="D152" s="223" t="str">
        <x:v>apps/api/tests/SmartLibrary.UnitTests/Features/Rag/RagServiceTests.cs:886</x:v>
      </x:c>
      <x:c r="E152" s="223" t="str">
        <x:v>evidence/unit.trx</x:v>
      </x:c>
      <x:c r="F152" s="223" t="str">
        <x:v>Passed</x:v>
      </x:c>
      <x:c r="G152" s="223" t="str">
        <x:v>Module-level supporting evidence; not full UC acceptance.</x:v>
      </x:c>
    </x:row>
    <x:row r="153" ht="60" customHeight="1">
      <x:c r="A153" s="223" t="str">
        <x:v>UT-149</x:v>
      </x:c>
      <x:c r="B153" s="223" t="str">
        <x:v>UC06, UC40</x:v>
      </x:c>
      <x:c r="C153" s="223" t="str">
        <x:v>SmartLibrary.UnitTests.Features.Rag.RagServiceTests.AskAsync_ReaderBookSearchWithoutCatalogMatchOrRagIndex_ReturnsExplicitIndexError</x:v>
      </x:c>
      <x:c r="D153" s="223" t="str">
        <x:v>apps/api/tests/SmartLibrary.UnitTests/Features/Rag/RagServiceTests.cs:728</x:v>
      </x:c>
      <x:c r="E153" s="223" t="str">
        <x:v>evidence/unit.trx</x:v>
      </x:c>
      <x:c r="F153" s="223" t="str">
        <x:v>Passed</x:v>
      </x:c>
      <x:c r="G153" s="223" t="str">
        <x:v>Module-level supporting evidence; not full UC acceptance.</x:v>
      </x:c>
    </x:row>
    <x:row r="154" ht="60" customHeight="1">
      <x:c r="A154" s="223" t="str">
        <x:v>UT-150</x:v>
      </x:c>
      <x:c r="B154" s="223" t="str">
        <x:v>UC06, UC40</x:v>
      </x:c>
      <x:c r="C154" s="223" t="str">
        <x:v>SmartLibrary.UnitTests.Features.Rag.RagServiceTests.AskAsync_VagueLanguageQuery_DoesNotCallGemini</x:v>
      </x:c>
      <x:c r="D154" s="223" t="str">
        <x:v>apps/api/tests/SmartLibrary.UnitTests/Features/Rag/RagServiceTests.cs:1024</x:v>
      </x:c>
      <x:c r="E154" s="223" t="str">
        <x:v>evidence/unit.trx</x:v>
      </x:c>
      <x:c r="F154" s="223" t="str">
        <x:v>Passed</x:v>
      </x:c>
      <x:c r="G154" s="223" t="str">
        <x:v>Module-level supporting evidence; not full UC acceptance.</x:v>
      </x:c>
    </x:row>
    <x:row r="155" ht="60" customHeight="1">
      <x:c r="A155" s="223" t="str">
        <x:v>UT-151</x:v>
      </x:c>
      <x:c r="B155" s="223" t="str">
        <x:v>UC06, UC40</x:v>
      </x:c>
      <x:c r="C155" s="223" t="str">
        <x:v>SmartLibrary.UnitTests.Features.Rag.RagServiceTests.AskAsync_WhenApiKeyInvalid_NotifiesLibrarianOwner</x:v>
      </x:c>
      <x:c r="D155" s="223" t="str">
        <x:v>apps/api/tests/SmartLibrary.UnitTests/Features/Rag/RagServiceTests.cs:676</x:v>
      </x:c>
      <x:c r="E155" s="223" t="str">
        <x:v>evidence/unit.trx</x:v>
      </x:c>
      <x:c r="F155" s="223" t="str">
        <x:v>Passed</x:v>
      </x:c>
      <x:c r="G155" s="223" t="str">
        <x:v>Module-level supporting evidence; not full UC acceptance.</x:v>
      </x:c>
    </x:row>
    <x:row r="156" ht="60" customHeight="1">
      <x:c r="A156" s="223" t="str">
        <x:v>UT-152</x:v>
      </x:c>
      <x:c r="B156" s="223" t="str">
        <x:v>UC06, UC40</x:v>
      </x:c>
      <x:c r="C156" s="223" t="str">
        <x:v>SmartLibrary.UnitTests.Features.Rag.RagServiceTests.AskAsync_WhenEmbedFails_KeepsCatalogHits</x:v>
      </x:c>
      <x:c r="D156" s="223" t="str">
        <x:v>apps/api/tests/SmartLibrary.UnitTests/Features/Rag/RagServiceTests.cs:509</x:v>
      </x:c>
      <x:c r="E156" s="223" t="str">
        <x:v>evidence/unit.trx</x:v>
      </x:c>
      <x:c r="F156" s="223" t="str">
        <x:v>Passed</x:v>
      </x:c>
      <x:c r="G156" s="223" t="str">
        <x:v>Module-level supporting evidence; not full UC acceptance.</x:v>
      </x:c>
    </x:row>
    <x:row r="157" ht="60" customHeight="1">
      <x:c r="A157" s="223" t="str">
        <x:v>UT-153</x:v>
      </x:c>
      <x:c r="B157" s="223" t="str">
        <x:v>UC06, UC40</x:v>
      </x:c>
      <x:c r="C157" s="223" t="str">
        <x:v>SmartLibrary.UnitTests.Features.Rag.RagServiceTests.AskAsync_WhenEnabled_ReturnsAnswerAndSources</x:v>
      </x:c>
      <x:c r="D157" s="223" t="str">
        <x:v>apps/api/tests/SmartLibrary.UnitTests/Features/Rag/RagServiceTests.cs:64</x:v>
      </x:c>
      <x:c r="E157" s="223" t="str">
        <x:v>evidence/unit.trx</x:v>
      </x:c>
      <x:c r="F157" s="223" t="str">
        <x:v>Passed</x:v>
      </x:c>
      <x:c r="G157" s="223" t="str">
        <x:v>Module-level supporting evidence; not full UC acceptance.</x:v>
      </x:c>
    </x:row>
    <x:row r="158" ht="60" customHeight="1">
      <x:c r="A158" s="223" t="str">
        <x:v>UT-154</x:v>
      </x:c>
      <x:c r="B158" s="223" t="str">
        <x:v>UC06, UC40</x:v>
      </x:c>
      <x:c r="C158" s="223" t="str">
        <x:v>SmartLibrary.UnitTests.Features.Rag.RagServiceTests.AskAsync_WhenExactCatalogHit_KeepsBookEvenWithoutEmbedding</x:v>
      </x:c>
      <x:c r="D158" s="223" t="str">
        <x:v>apps/api/tests/SmartLibrary.UnitTests/Features/Rag/RagServiceTests.cs:456</x:v>
      </x:c>
      <x:c r="E158" s="223" t="str">
        <x:v>evidence/unit.trx</x:v>
      </x:c>
      <x:c r="F158" s="223" t="str">
        <x:v>Passed</x:v>
      </x:c>
      <x:c r="G158" s="223" t="str">
        <x:v>Module-level supporting evidence; not full UC acceptance.</x:v>
      </x:c>
    </x:row>
    <x:row r="159" ht="60" customHeight="1">
      <x:c r="A159" s="223" t="str">
        <x:v>UT-155</x:v>
      </x:c>
      <x:c r="B159" s="223" t="str">
        <x:v>UC06, UC40</x:v>
      </x:c>
      <x:c r="C159" s="223" t="str">
        <x:v>SmartLibrary.UnitTests.Features.Rag.RagServiceTests.AskAsync_WhenHitsBelowThreshold_OmitsUnrelatedSources</x:v>
      </x:c>
      <x:c r="D159" s="223" t="str">
        <x:v>apps/api/tests/SmartLibrary.UnitTests/Features/Rag/RagServiceTests.cs:367</x:v>
      </x:c>
      <x:c r="E159" s="223" t="str">
        <x:v>evidence/unit.trx</x:v>
      </x:c>
      <x:c r="F159" s="223" t="str">
        <x:v>Passed</x:v>
      </x:c>
      <x:c r="G159" s="223" t="str">
        <x:v>Module-level supporting evidence; not full UC acceptance.</x:v>
      </x:c>
    </x:row>
    <x:row r="160" ht="60" customHeight="1">
      <x:c r="A160" s="223" t="str">
        <x:v>UT-156</x:v>
      </x:c>
      <x:c r="B160" s="223" t="str">
        <x:v>UC06, UC40</x:v>
      </x:c>
      <x:c r="C160" s="223" t="str">
        <x:v>SmartLibrary.UnitTests.Features.Rag.RagServiceTests.AskAsync_WhenLibrarian_UsesPersonalChatModel</x:v>
      </x:c>
      <x:c r="D160" s="223" t="str">
        <x:v>apps/api/tests/SmartLibrary.UnitTests/Features/Rag/RagServiceTests.cs:759</x:v>
      </x:c>
      <x:c r="E160" s="223" t="str">
        <x:v>evidence/unit.trx</x:v>
      </x:c>
      <x:c r="F160" s="223" t="str">
        <x:v>Passed</x:v>
      </x:c>
      <x:c r="G160" s="223" t="str">
        <x:v>Module-level supporting evidence; not full UC acceptance.</x:v>
      </x:c>
    </x:row>
    <x:row r="161" ht="60" customHeight="1">
      <x:c r="A161" s="223" t="str">
        <x:v>UT-157</x:v>
      </x:c>
      <x:c r="B161" s="223" t="str">
        <x:v>UC06, UC40</x:v>
      </x:c>
      <x:c r="C161" s="223" t="str">
        <x:v>SmartLibrary.UnitTests.Features.Rag.RagServiceTests.AskAsync_WhenNoApiKey_ReturnsNotConfigured</x:v>
      </x:c>
      <x:c r="D161" s="223" t="str">
        <x:v>apps/api/tests/SmartLibrary.UnitTests/Features/Rag/RagServiceTests.cs:740</x:v>
      </x:c>
      <x:c r="E161" s="223" t="str">
        <x:v>evidence/unit.trx</x:v>
      </x:c>
      <x:c r="F161" s="223" t="str">
        <x:v>Passed</x:v>
      </x:c>
      <x:c r="G161" s="223" t="str">
        <x:v>Module-level supporting evidence; not full UC acceptance.</x:v>
      </x:c>
    </x:row>
    <x:row r="162" ht="60" customHeight="1">
      <x:c r="A162" s="223" t="str">
        <x:v>UT-158</x:v>
      </x:c>
      <x:c r="B162" s="223" t="str">
        <x:v>UC06, UC40</x:v>
      </x:c>
      <x:c r="C162" s="223" t="str">
        <x:v>SmartLibrary.UnitTests.Features.Rag.RagServiceTests.AskAsync_WhenQuestionLongerThanOldLimit_StillSearches</x:v>
      </x:c>
      <x:c r="D162" s="223" t="str">
        <x:v>apps/api/tests/SmartLibrary.UnitTests/Features/Rag/RagServiceTests.cs:412</x:v>
      </x:c>
      <x:c r="E162" s="223" t="str">
        <x:v>evidence/unit.trx</x:v>
      </x:c>
      <x:c r="F162" s="223" t="str">
        <x:v>Passed</x:v>
      </x:c>
      <x:c r="G162" s="223" t="str">
        <x:v>Module-level supporting evidence; not full UC acceptance.</x:v>
      </x:c>
    </x:row>
    <x:row r="163" ht="60" customHeight="1">
      <x:c r="A163" s="223" t="str">
        <x:v>UT-159</x:v>
      </x:c>
      <x:c r="B163" s="223" t="str">
        <x:v>UC06, UC40</x:v>
      </x:c>
      <x:c r="C163" s="223" t="str">
        <x:v>SmartLibrary.UnitTests.Features.Rag.RagServiceTests.AskAsync_WhenRagEmpty_UsesCatalogWithoutEmbedding</x:v>
      </x:c>
      <x:c r="D163" s="223" t="str">
        <x:v>apps/api/tests/SmartLibrary.UnitTests/Features/Rag/RagServiceTests.cs:554</x:v>
      </x:c>
      <x:c r="E163" s="223" t="str">
        <x:v>evidence/unit.trx</x:v>
      </x:c>
      <x:c r="F163" s="223" t="str">
        <x:v>Passed</x:v>
      </x:c>
      <x:c r="G163" s="223" t="str">
        <x:v>Module-level supporting evidence; not full UC acceptance.</x:v>
      </x:c>
    </x:row>
    <x:row r="164" ht="60" customHeight="1">
      <x:c r="A164" s="223" t="str">
        <x:v>UT-160</x:v>
      </x:c>
      <x:c r="B164" s="223" t="str">
        <x:v>UC06, UC40</x:v>
      </x:c>
      <x:c r="C164" s="223" t="str">
        <x:v>SmartLibrary.UnitTests.Features.Rag.RagServiceTests.AskAsync_WhenReaderAiDisabled_ReturnsFailure</x:v>
      </x:c>
      <x:c r="D164" s="223" t="str">
        <x:v>apps/api/tests/SmartLibrary.UnitTests/Features/Rag/RagServiceTests.cs:40</x:v>
      </x:c>
      <x:c r="E164" s="223" t="str">
        <x:v>evidence/unit.trx</x:v>
      </x:c>
      <x:c r="F164" s="223" t="str">
        <x:v>Passed</x:v>
      </x:c>
      <x:c r="G164" s="223" t="str">
        <x:v>Module-level supporting evidence; not full UC acceptance.</x:v>
      </x:c>
    </x:row>
    <x:row r="165" ht="60" customHeight="1">
      <x:c r="A165" s="223" t="str">
        <x:v>UT-161</x:v>
      </x:c>
      <x:c r="B165" s="223" t="str">
        <x:v>UC06, UC40</x:v>
      </x:c>
      <x:c r="C165" s="223" t="str">
        <x:v>SmartLibrary.UnitTests.Features.Rag.RagServiceTests.AskAsync_WhenSemanticHitIsDifferentTopic_ReturnsEmpty</x:v>
      </x:c>
      <x:c r="D165" s="223" t="str">
        <x:v>apps/api/tests/SmartLibrary.UnitTests/Features/Rag/RagServiceTests.cs:609</x:v>
      </x:c>
      <x:c r="E165" s="223" t="str">
        <x:v>evidence/unit.trx</x:v>
      </x:c>
      <x:c r="F165" s="223" t="str">
        <x:v>Passed</x:v>
      </x:c>
      <x:c r="G165" s="223" t="str">
        <x:v>Module-level supporting evidence; not full UC acceptance.</x:v>
      </x:c>
    </x:row>
    <x:row r="166" ht="60" customHeight="1">
      <x:c r="A166" s="223" t="str">
        <x:v>UT-162</x:v>
      </x:c>
      <x:c r="B166" s="223" t="str">
        <x:v>UC06, UC40</x:v>
      </x:c>
      <x:c r="C166" s="223" t="str">
        <x:v>SmartLibrary.UnitTests.Features.Rag.RagServiceTests.AskAsync_WideJapaneseQuery_DoesNotRequireAMajor</x:v>
      </x:c>
      <x:c r="D166" s="223" t="str">
        <x:v>apps/api/tests/SmartLibrary.UnitTests/Features/Rag/RagServiceTests.cs:924</x:v>
      </x:c>
      <x:c r="E166" s="223" t="str">
        <x:v>evidence/unit.trx</x:v>
      </x:c>
      <x:c r="F166" s="223" t="str">
        <x:v>Passed</x:v>
      </x:c>
      <x:c r="G166" s="223" t="str">
        <x:v>Module-level supporting evidence; not full UC acceptance.</x:v>
      </x:c>
    </x:row>
    <x:row r="167" ht="60" customHeight="1">
      <x:c r="A167" s="223" t="str">
        <x:v>UT-163</x:v>
      </x:c>
      <x:c r="B167" s="223" t="str">
        <x:v>UC06, UC40</x:v>
      </x:c>
      <x:c r="C167" s="223" t="str">
        <x:v>SmartLibrary.UnitTests.Features.Rag.RagServiceTests.ReindexAsync_WhenLibrarian_ReturnsForbidden</x:v>
      </x:c>
      <x:c r="D167" s="223" t="str">
        <x:v>apps/api/tests/SmartLibrary.UnitTests/Features/Rag/RagServiceTests.cs:654</x:v>
      </x:c>
      <x:c r="E167" s="223" t="str">
        <x:v>evidence/unit.trx</x:v>
      </x:c>
      <x:c r="F167" s="223" t="str">
        <x:v>Passed</x:v>
      </x:c>
      <x:c r="G167" s="223" t="str">
        <x:v>Module-level supporting evidence; not full UC acceptance.</x:v>
      </x:c>
    </x:row>
    <x:row r="168" ht="60" customHeight="1">
      <x:c r="A168" s="223" t="str">
        <x:v>UT-164</x:v>
      </x:c>
      <x:c r="B168" s="223" t="str">
        <x:v>UC06, UC40</x:v>
      </x:c>
      <x:c r="C168" s="223" t="str">
        <x:v>SmartLibrary.UnitTests.Features.Rag.RagServiceTests.SuggestAcquisitionsAsync_WhenDisabled_ReturnsFailure</x:v>
      </x:c>
      <x:c r="D168" s="223" t="str">
        <x:v>apps/api/tests/SmartLibrary.UnitTests/Features/Rag/RagServiceTests.cs:664</x:v>
      </x:c>
      <x:c r="E168" s="223" t="str">
        <x:v>evidence/unit.trx</x:v>
      </x:c>
      <x:c r="F168" s="223" t="str">
        <x:v>Passed</x:v>
      </x:c>
      <x:c r="G168" s="223" t="str">
        <x:v>Module-level supporting evidence; not full UC acceptance.</x:v>
      </x:c>
    </x:row>
    <x:row r="169" ht="60" customHeight="1">
      <x:c r="A169" s="223" t="str">
        <x:v>UT-165</x:v>
      </x:c>
      <x:c r="B169" s="223" t="str">
        <x:v>UC06, UC40</x:v>
      </x:c>
      <x:c r="C169" s="223" t="str">
        <x:v>SmartLibrary.UnitTests.Features.Rag.RealCatalogTopicTests.CompoundAuthorAndForeignLanguage_ReturnsBothNotPython</x:v>
      </x:c>
      <x:c r="D169" s="223" t="str">
        <x:v>apps/api/tests/SmartLibrary.UnitTests/Features/Rag/RealCatalogTopicTests.cs:109</x:v>
      </x:c>
      <x:c r="E169" s="223" t="str">
        <x:v>evidence/unit.trx</x:v>
      </x:c>
      <x:c r="F169" s="223" t="str">
        <x:v>Passed</x:v>
      </x:c>
      <x:c r="G169" s="223" t="str">
        <x:v>Module-level supporting evidence; not full UC acceptance.</x:v>
      </x:c>
    </x:row>
    <x:row r="170" ht="60" customHeight="1">
      <x:c r="A170" s="223" t="str">
        <x:v>UT-166</x:v>
      </x:c>
      <x:c r="B170" s="223" t="str">
        <x:v>UC06, UC40</x:v>
      </x:c>
      <x:c r="C170" s="223" t="str">
        <x:v>SmartLibrary.UnitTests.Features.Rag.RealCatalogTopicTests.CompoundPythonAndCleanCode_ReturnsBoth</x:v>
      </x:c>
      <x:c r="D170" s="223" t="str">
        <x:v>apps/api/tests/SmartLibrary.UnitTests/Features/Rag/RealCatalogTopicTests.cs:119</x:v>
      </x:c>
      <x:c r="E170" s="223" t="str">
        <x:v>evidence/unit.trx</x:v>
      </x:c>
      <x:c r="F170" s="223" t="str">
        <x:v>Passed</x:v>
      </x:c>
      <x:c r="G170" s="223" t="str">
        <x:v>Module-level supporting evidence; not full UC acceptance.</x:v>
      </x:c>
    </x:row>
    <x:row r="171" ht="60" customHeight="1">
      <x:c r="A171" s="223" t="str">
        <x:v>UT-167</x:v>
      </x:c>
      <x:c r="B171" s="223" t="str">
        <x:v>UC06, UC40</x:v>
      </x:c>
      <x:c r="C171" s="223" t="str">
        <x:v>SmartLibrary.UnitTests.Features.Rag.RealCatalogTopicTests.EnglishGrammar_ReturnsMurphyNotPython</x:v>
      </x:c>
      <x:c r="D171" s="223" t="str">
        <x:v>apps/api/tests/SmartLibrary.UnitTests/Features/Rag/RealCatalogTopicTests.cs:47</x:v>
      </x:c>
      <x:c r="E171" s="223" t="str">
        <x:v>evidence/unit.trx</x:v>
      </x:c>
      <x:c r="F171" s="223" t="str">
        <x:v>Passed</x:v>
      </x:c>
      <x:c r="G171" s="223" t="str">
        <x:v>Module-level supporting evidence; not full UC acceptance.</x:v>
      </x:c>
    </x:row>
    <x:row r="172" ht="60" customHeight="1">
      <x:c r="A172" s="223" t="str">
        <x:v>UT-168</x:v>
      </x:c>
      <x:c r="B172" s="223" t="str">
        <x:v>UC06, UC40</x:v>
      </x:c>
      <x:c r="C172" s="223" t="str">
        <x:v>SmartLibrary.UnitTests.Features.Rag.RealCatalogTopicTests.EnglishLanguageLearningQuery_DoesNotReturnUnrelatedBooksWrittenInEnglish</x:v>
      </x:c>
      <x:c r="D172" s="223" t="str">
        <x:v>apps/api/tests/SmartLibrary.UnitTests/Features/Rag/RealCatalogTopicTests.cs:53</x:v>
      </x:c>
      <x:c r="E172" s="223" t="str">
        <x:v>evidence/unit.trx</x:v>
      </x:c>
      <x:c r="F172" s="223" t="str">
        <x:v>Passed</x:v>
      </x:c>
      <x:c r="G172" s="223" t="str">
        <x:v>Module-level supporting evidence; not full UC acceptance.</x:v>
      </x:c>
    </x:row>
    <x:row r="173" ht="60" customHeight="1">
      <x:c r="A173" s="223" t="str">
        <x:v>UT-169</x:v>
      </x:c>
      <x:c r="B173" s="223" t="str">
        <x:v>UC06, UC40</x:v>
      </x:c>
      <x:c r="C173" s="223" t="str">
        <x:v>SmartLibrary.UnitTests.Features.Rag.RealCatalogTopicTests.ExactIsbn_ReturnsCleanCode</x:v>
      </x:c>
      <x:c r="D173" s="223" t="str">
        <x:v>apps/api/tests/SmartLibrary.UnitTests/Features/Rag/RealCatalogTopicTests.cs:89</x:v>
      </x:c>
      <x:c r="E173" s="223" t="str">
        <x:v>evidence/unit.trx</x:v>
      </x:c>
      <x:c r="F173" s="223" t="str">
        <x:v>Passed</x:v>
      </x:c>
      <x:c r="G173" s="223" t="str">
        <x:v>Module-level supporting evidence; not full UC acceptance.</x:v>
      </x:c>
    </x:row>
    <x:row r="174" ht="60" customHeight="1">
      <x:c r="A174" s="223" t="str">
        <x:v>UT-170</x:v>
      </x:c>
      <x:c r="B174" s="223" t="str">
        <x:v>UC06, UC40</x:v>
      </x:c>
      <x:c r="C174" s="223" t="str">
        <x:v>SmartLibrary.UnitTests.Features.Rag.RealCatalogTopicTests.ExactTitle_ReturnsCleanCode</x:v>
      </x:c>
      <x:c r="D174" s="223" t="str">
        <x:v>apps/api/tests/SmartLibrary.UnitTests/Features/Rag/RealCatalogTopicTests.cs:95</x:v>
      </x:c>
      <x:c r="E174" s="223" t="str">
        <x:v>evidence/unit.trx</x:v>
      </x:c>
      <x:c r="F174" s="223" t="str">
        <x:v>Passed</x:v>
      </x:c>
      <x:c r="G174" s="223" t="str">
        <x:v>Module-level supporting evidence; not full UC acceptance.</x:v>
      </x:c>
    </x:row>
    <x:row r="175" ht="60" customHeight="1">
      <x:c r="A175" s="223" t="str">
        <x:v>UT-171</x:v>
      </x:c>
      <x:c r="B175" s="223" t="str">
        <x:v>UC06, UC40</x:v>
      </x:c>
      <x:c r="C175" s="223" t="str">
        <x:v>SmartLibrary.UnitTests.Features.Rag.RealCatalogTopicTests.FiveBooks_CommaSeparated_ReturnsEachNamedBook</x:v>
      </x:c>
      <x:c r="D175" s="223" t="str">
        <x:v>apps/api/tests/SmartLibrary.UnitTests/Features/Rag/RealCatalogTopicTests.cs:194</x:v>
      </x:c>
      <x:c r="E175" s="223" t="str">
        <x:v>evidence/unit.trx</x:v>
      </x:c>
      <x:c r="F175" s="223" t="str">
        <x:v>Passed</x:v>
      </x:c>
      <x:c r="G175" s="223" t="str">
        <x:v>Module-level supporting evidence; not full UC acceptance.</x:v>
      </x:c>
    </x:row>
    <x:row r="176" ht="60" customHeight="1">
      <x:c r="A176" s="223" t="str">
        <x:v>UT-172</x:v>
      </x:c>
      <x:c r="B176" s="223" t="str">
        <x:v>UC06, UC40</x:v>
      </x:c>
      <x:c r="C176" s="223" t="str">
        <x:v>SmartLibrary.UnitTests.Features.Rag.RealCatalogTopicTests.FiveBooks_MessyWordingWithoutAnd_StillFindsNamedBooks</x:v>
      </x:c>
      <x:c r="D176" s="223" t="str">
        <x:v>apps/api/tests/SmartLibrary.UnitTests/Features/Rag/RealCatalogTopicTests.cs:206</x:v>
      </x:c>
      <x:c r="E176" s="223" t="str">
        <x:v>evidence/unit.trx</x:v>
      </x:c>
      <x:c r="F176" s="223" t="str">
        <x:v>Passed</x:v>
      </x:c>
      <x:c r="G176" s="223" t="str">
        <x:v>Module-level supporting evidence; not full UC acceptance.</x:v>
      </x:c>
    </x:row>
    <x:row r="177" ht="60" customHeight="1">
      <x:c r="A177" s="223" t="str">
        <x:v>UT-173</x:v>
      </x:c>
      <x:c r="B177" s="223" t="str">
        <x:v>UC06, UC40</x:v>
      </x:c>
      <x:c r="C177" s="223" t="str">
        <x:v>SmartLibrary.UnitTests.Features.Rag.RealCatalogTopicTests.HardwareAndDiscreteMathProse_ReturnsOnlyRosenNotLiteratureOrCleanCode</x:v>
      </x:c>
      <x:c r="D177" s="223" t="str">
        <x:v>apps/api/tests/SmartLibrary.UnitTests/Features/Rag/RealCatalogTopicTests.cs:127</x:v>
      </x:c>
      <x:c r="E177" s="223" t="str">
        <x:v>evidence/unit.trx</x:v>
      </x:c>
      <x:c r="F177" s="223" t="str">
        <x:v>Passed</x:v>
      </x:c>
      <x:c r="G177" s="223" t="str">
        <x:v>Module-level supporting evidence; not full UC acceptance.</x:v>
      </x:c>
    </x:row>
    <x:row r="178" ht="60" customHeight="1">
      <x:c r="A178" s="223" t="str">
        <x:v>UT-174</x:v>
      </x:c>
      <x:c r="B178" s="223" t="str">
        <x:v>UC06, UC40</x:v>
      </x:c>
      <x:c r="C178" s="223" t="str">
        <x:v>SmartLibrary.UnitTests.Features.Rag.RealCatalogTopicTests.JapaneseQueries_AgainstLiveCatalog_ReturnNoBooks(query: "Tìm sách ngôn ngữ chuyên ngành tiếng Nhật.")</x:v>
      </x:c>
      <x:c r="D178" s="223" t="str">
        <x:v>apps/api/tests/SmartLibrary.UnitTests/Features/Rag/RealCatalogTopicTests.cs:31</x:v>
      </x:c>
      <x:c r="E178" s="223" t="str">
        <x:v>evidence/unit.trx</x:v>
      </x:c>
      <x:c r="F178" s="223" t="str">
        <x:v>Passed</x:v>
      </x:c>
      <x:c r="G178" s="223" t="str">
        <x:v>Module-level supporting evidence; not full UC acceptance.</x:v>
      </x:c>
    </x:row>
    <x:row r="179" ht="60" customHeight="1">
      <x:c r="A179" s="223" t="str">
        <x:v>UT-175</x:v>
      </x:c>
      <x:c r="B179" s="223" t="str">
        <x:v>UC06, UC40</x:v>
      </x:c>
      <x:c r="C179" s="223" t="str">
        <x:v>SmartLibrary.UnitTests.Features.Rag.RealCatalogTopicTests.JapaneseQueries_AgainstLiveCatalog_ReturnNoBooks(query: "Tìm sách tiếng Nhật chuyên ngành công nghệ thông t"···)</x:v>
      </x:c>
      <x:c r="D179" s="223" t="str">
        <x:v>apps/api/tests/SmartLibrary.UnitTests/Features/Rag/RealCatalogTopicTests.cs:31</x:v>
      </x:c>
      <x:c r="E179" s="223" t="str">
        <x:v>evidence/unit.trx</x:v>
      </x:c>
      <x:c r="F179" s="223" t="str">
        <x:v>Passed</x:v>
      </x:c>
      <x:c r="G179" s="223" t="str">
        <x:v>Module-level supporting evidence; not full UC acceptance.</x:v>
      </x:c>
    </x:row>
    <x:row r="180" ht="60" customHeight="1">
      <x:c r="A180" s="223" t="str">
        <x:v>UT-176</x:v>
      </x:c>
      <x:c r="B180" s="223" t="str">
        <x:v>UC06, UC40</x:v>
      </x:c>
      <x:c r="C180" s="223" t="str">
        <x:v>SmartLibrary.UnitTests.Features.Rag.RealCatalogTopicTests.JapaneseQueries_AgainstLiveCatalog_ReturnNoBooks(query: "Tìm sách tiếng Nhật")</x:v>
      </x:c>
      <x:c r="D180" s="223" t="str">
        <x:v>apps/api/tests/SmartLibrary.UnitTests/Features/Rag/RealCatalogTopicTests.cs:31</x:v>
      </x:c>
      <x:c r="E180" s="223" t="str">
        <x:v>evidence/unit.trx</x:v>
      </x:c>
      <x:c r="F180" s="223" t="str">
        <x:v>Passed</x:v>
      </x:c>
      <x:c r="G180" s="223" t="str">
        <x:v>Module-level supporting evidence; not full UC acceptance.</x:v>
      </x:c>
    </x:row>
    <x:row r="181" ht="60" customHeight="1">
      <x:c r="A181" s="223" t="str">
        <x:v>UT-177</x:v>
      </x:c>
      <x:c r="B181" s="223" t="str">
        <x:v>UC06, UC40</x:v>
      </x:c>
      <x:c r="C181" s="223" t="str">
        <x:v>SmartLibrary.UnitTests.Features.Rag.RealCatalogTopicTests.JapaneseQueries_AgainstLiveCatalog_ReturnNoBooks(query: "Tìm sách từ vựng tiếng Nhật thương mại.")</x:v>
      </x:c>
      <x:c r="D181" s="223" t="str">
        <x:v>apps/api/tests/SmartLibrary.UnitTests/Features/Rag/RealCatalogTopicTests.cs:31</x:v>
      </x:c>
      <x:c r="E181" s="223" t="str">
        <x:v>evidence/unit.trx</x:v>
      </x:c>
      <x:c r="F181" s="223" t="str">
        <x:v>Passed</x:v>
      </x:c>
      <x:c r="G181" s="223" t="str">
        <x:v>Module-level supporting evidence; not full UC acceptance.</x:v>
      </x:c>
    </x:row>
    <x:row r="182" ht="60" customHeight="1">
      <x:c r="A182" s="223" t="str">
        <x:v>UT-178</x:v>
      </x:c>
      <x:c r="B182" s="223" t="str">
        <x:v>UC06, UC40</x:v>
      </x:c>
      <x:c r="C182" s="223" t="str">
        <x:v>SmartLibrary.UnitTests.Features.Rag.RealCatalogTopicTests.KoreanLanguageLearningQuery_FindsIntegratedKoreanDespiteEnglishMetadataLanguage</x:v>
      </x:c>
      <x:c r="D182" s="223" t="str">
        <x:v>apps/api/tests/SmartLibrary.UnitTests/Features/Rag/RealCatalogTopicTests.cs:60</x:v>
      </x:c>
      <x:c r="E182" s="223" t="str">
        <x:v>evidence/unit.trx</x:v>
      </x:c>
      <x:c r="F182" s="223" t="str">
        <x:v>Passed</x:v>
      </x:c>
      <x:c r="G182" s="223" t="str">
        <x:v>Module-level supporting evidence; not full UC acceptance.</x:v>
      </x:c>
    </x:row>
    <x:row r="183" ht="60" customHeight="1">
      <x:c r="A183" s="223" t="str">
        <x:v>UT-179</x:v>
      </x:c>
      <x:c r="B183" s="223" t="str">
        <x:v>UC06, UC40</x:v>
      </x:c>
      <x:c r="C183" s="223" t="str">
        <x:v>SmartLibrary.UnitTests.Features.Rag.RealCatalogTopicTests.LongDiscreteMathDescription_ReturnsRosenNotProgrammingOrEnglishGrammar</x:v>
      </x:c>
      <x:c r="D183" s="223" t="str">
        <x:v>apps/api/tests/SmartLibrary.UnitTests/Features/Rag/RealCatalogTopicTests.cs:174</x:v>
      </x:c>
      <x:c r="E183" s="223" t="str">
        <x:v>evidence/unit.trx</x:v>
      </x:c>
      <x:c r="F183" s="223" t="str">
        <x:v>Passed</x:v>
      </x:c>
      <x:c r="G183" s="223" t="str">
        <x:v>Module-level supporting evidence; not full UC acceptance.</x:v>
      </x:c>
    </x:row>
    <x:row r="184" ht="60" customHeight="1">
      <x:c r="A184" s="223" t="str">
        <x:v>UT-180</x:v>
      </x:c>
      <x:c r="B184" s="223" t="str">
        <x:v>UC06, UC40</x:v>
      </x:c>
      <x:c r="C184" s="223" t="str">
        <x:v>SmartLibrary.UnitTests.Features.Rag.RealCatalogTopicTests.MissingBook_ReturnsEmpty</x:v>
      </x:c>
      <x:c r="D184" s="223" t="str">
        <x:v>apps/api/tests/SmartLibrary.UnitTests/Features/Rag/RealCatalogTopicTests.cs:83</x:v>
      </x:c>
      <x:c r="E184" s="223" t="str">
        <x:v>evidence/unit.trx</x:v>
      </x:c>
      <x:c r="F184" s="223" t="str">
        <x:v>Passed</x:v>
      </x:c>
      <x:c r="G184" s="223" t="str">
        <x:v>Module-level supporting evidence; not full UC acceptance.</x:v>
      </x:c>
    </x:row>
    <x:row r="185" ht="60" customHeight="1">
      <x:c r="A185" s="223" t="str">
        <x:v>UT-181</x:v>
      </x:c>
      <x:c r="B185" s="223" t="str">
        <x:v>UC06, UC40</x:v>
      </x:c>
      <x:c r="C185" s="223" t="str">
        <x:v>SmartLibrary.UnitTests.Features.Rag.RealCatalogTopicTests.NguyenNhatAnh_IsNotJapaneseLanguageEvidence</x:v>
      </x:c>
      <x:c r="D185" s="223" t="str">
        <x:v>apps/api/tests/SmartLibrary.UnitTests/Features/Rag/RealCatalogTopicTests.cs:226</x:v>
      </x:c>
      <x:c r="E185" s="223" t="str">
        <x:v>evidence/unit.trx</x:v>
      </x:c>
      <x:c r="F185" s="223" t="str">
        <x:v>Passed</x:v>
      </x:c>
      <x:c r="G185" s="223" t="str">
        <x:v>Module-level supporting evidence; not full UC acceptance.</x:v>
      </x:c>
    </x:row>
    <x:row r="186" ht="60" customHeight="1">
      <x:c r="A186" s="223" t="str">
        <x:v>UT-182</x:v>
      </x:c>
      <x:c r="B186" s="223" t="str">
        <x:v>UC06, UC40</x:v>
      </x:c>
      <x:c r="C186" s="223" t="str">
        <x:v>SmartLibrary.UnitTests.Features.Rag.RealCatalogTopicTests.PythonAdvanced_ReturnsPythonAdvancedNotJapaneseOrEnglishGrammar</x:v>
      </x:c>
      <x:c r="D186" s="223" t="str">
        <x:v>apps/api/tests/SmartLibrary.UnitTests/Features/Rag/RealCatalogTopicTests.cs:38</x:v>
      </x:c>
      <x:c r="E186" s="223" t="str">
        <x:v>evidence/unit.trx</x:v>
      </x:c>
      <x:c r="F186" s="223" t="str">
        <x:v>Passed</x:v>
      </x:c>
      <x:c r="G186" s="223" t="str">
        <x:v>Module-level supporting evidence; not full UC acceptance.</x:v>
      </x:c>
    </x:row>
    <x:row r="187" ht="60" customHeight="1">
      <x:c r="A187" s="223" t="str">
        <x:v>UT-183</x:v>
      </x:c>
      <x:c r="B187" s="223" t="str">
        <x:v>UC06, UC40</x:v>
      </x:c>
      <x:c r="C187" s="223" t="str">
        <x:v>SmartLibrary.UnitTests.Features.Rag.RealCatalogTopicTests.RepeatedSach_SplitsFiveRequests</x:v>
      </x:c>
      <x:c r="D187" s="223" t="str">
        <x:v>apps/api/tests/SmartLibrary.UnitTests/Features/Rag/RealCatalogTopicTests.cs:218</x:v>
      </x:c>
      <x:c r="E187" s="223" t="str">
        <x:v>evidence/unit.trx</x:v>
      </x:c>
      <x:c r="F187" s="223" t="str">
        <x:v>Passed</x:v>
      </x:c>
      <x:c r="G187" s="223" t="str">
        <x:v>Module-level supporting evidence; not full UC acceptance.</x:v>
      </x:c>
    </x:row>
    <x:row r="188" ht="60" customHeight="1">
      <x:c r="A188" s="223" t="str">
        <x:v>UT-184</x:v>
      </x:c>
      <x:c r="B188" s="223" t="str">
        <x:v>UC06, UC40</x:v>
      </x:c>
      <x:c r="C188" s="223" t="str">
        <x:v>SmartLibrary.UnitTests.Features.Rag.RealCatalogTopicTests.VagueLanguageQuery_NeedsClarificationInsteadOfDumpingCatalog</x:v>
      </x:c>
      <x:c r="D188" s="223" t="str">
        <x:v>apps/api/tests/SmartLibrary.UnitTests/Features/Rag/RealCatalogTopicTests.cs:101</x:v>
      </x:c>
      <x:c r="E188" s="223" t="str">
        <x:v>evidence/unit.trx</x:v>
      </x:c>
      <x:c r="F188" s="223" t="str">
        <x:v>Passed</x:v>
      </x:c>
      <x:c r="G188" s="223" t="str">
        <x:v>Module-level supporting evidence; not full UC acceptance.</x:v>
      </x:c>
    </x:row>
    <x:row r="189" ht="60" customHeight="1">
      <x:c r="A189" s="223" t="str">
        <x:v>UT-185</x:v>
      </x:c>
      <x:c r="B189" s="223" t="str">
        <x:v>UC06, UC40</x:v>
      </x:c>
      <x:c r="C189" s="223" t="str">
        <x:v>SmartLibrary.UnitTests.Features.Rag.SearchTopicGuardTests.BookSearchIntent_DoesNotTreatBorrowingPolicyQuestionsAsBookSearches</x:v>
      </x:c>
      <x:c r="D189" s="223" t="str">
        <x:v>apps/api/tests/SmartLibrary.UnitTests/Features/Rag/SearchTopicGuardTests.cs:145</x:v>
      </x:c>
      <x:c r="E189" s="223" t="str">
        <x:v>evidence/unit.trx</x:v>
      </x:c>
      <x:c r="F189" s="223" t="str">
        <x:v>Passed</x:v>
      </x:c>
      <x:c r="G189" s="223" t="str">
        <x:v>Module-level supporting evidence; not full UC acceptance.</x:v>
      </x:c>
    </x:row>
    <x:row r="190" ht="60" customHeight="1">
      <x:c r="A190" s="223" t="str">
        <x:v>UT-186</x:v>
      </x:c>
      <x:c r="B190" s="223" t="str">
        <x:v>UC06, UC40</x:v>
      </x:c>
      <x:c r="C190" s="223" t="str">
        <x:v>SmartLibrary.UnitTests.Features.Rag.SearchTopicGuardTests.CSharpQuery_RecognizesAliasesAndRejectsUnrelatedBooks</x:v>
      </x:c>
      <x:c r="D190" s="223" t="str">
        <x:v>apps/api/tests/SmartLibrary.UnitTests/Features/Rag/SearchTopicGuardTests.cs:41</x:v>
      </x:c>
      <x:c r="E190" s="223" t="str">
        <x:v>evidence/unit.trx</x:v>
      </x:c>
      <x:c r="F190" s="223" t="str">
        <x:v>Passed</x:v>
      </x:c>
      <x:c r="G190" s="223" t="str">
        <x:v>Module-level supporting evidence; not full UC acceptance.</x:v>
      </x:c>
    </x:row>
    <x:row r="191" ht="60" customHeight="1">
      <x:c r="A191" s="223" t="str">
        <x:v>UT-187</x:v>
      </x:c>
      <x:c r="B191" s="223" t="str">
        <x:v>UC06, UC40</x:v>
      </x:c>
      <x:c r="C191" s="223" t="str">
        <x:v>SmartLibrary.UnitTests.Features.Rag.SearchTopicGuardTests.CompoundPythonAndCleanCode_DoesNotForcePythonOnEveryHit</x:v>
      </x:c>
      <x:c r="D191" s="223" t="str">
        <x:v>apps/api/tests/SmartLibrary.UnitTests/Features/Rag/SearchTopicGuardTests.cs:270</x:v>
      </x:c>
      <x:c r="E191" s="223" t="str">
        <x:v>evidence/unit.trx</x:v>
      </x:c>
      <x:c r="F191" s="223" t="str">
        <x:v>Passed</x:v>
      </x:c>
      <x:c r="G191" s="223" t="str">
        <x:v>Module-level supporting evidence; not full UC acceptance.</x:v>
      </x:c>
    </x:row>
    <x:row r="192" ht="60" customHeight="1">
      <x:c r="A192" s="223" t="str">
        <x:v>UT-188</x:v>
      </x:c>
      <x:c r="B192" s="223" t="str">
        <x:v>UC06, UC40</x:v>
      </x:c>
      <x:c r="C192" s="223" t="str">
        <x:v>SmartLibrary.UnitTests.Features.Rag.SearchTopicGuardTests.CompoundQuery_AllowsEachClauseSeparately</x:v>
      </x:c>
      <x:c r="D192" s="223" t="str">
        <x:v>apps/api/tests/SmartLibrary.UnitTests/Features/Rag/SearchTopicGuardTests.cs:169</x:v>
      </x:c>
      <x:c r="E192" s="223" t="str">
        <x:v>evidence/unit.trx</x:v>
      </x:c>
      <x:c r="F192" s="223" t="str">
        <x:v>Passed</x:v>
      </x:c>
      <x:c r="G192" s="223" t="str">
        <x:v>Module-level supporting evidence; not full UC acceptance.</x:v>
      </x:c>
    </x:row>
    <x:row r="193" ht="60" customHeight="1">
      <x:c r="A193" s="223" t="str">
        <x:v>UT-189</x:v>
      </x:c>
      <x:c r="B193" s="223" t="str">
        <x:v>UC06, UC40</x:v>
      </x:c>
      <x:c r="C193" s="223" t="str">
        <x:v>SmartLibrary.UnitTests.Features.Rag.SearchTopicGuardTests.DiscreteMathIntent_RejectsProgrammingAndEnglishGrammar</x:v>
      </x:c>
      <x:c r="D193" s="223" t="str">
        <x:v>apps/api/tests/SmartLibrary.UnitTests/Features/Rag/SearchTopicGuardTests.cs:206</x:v>
      </x:c>
      <x:c r="E193" s="223" t="str">
        <x:v>evidence/unit.trx</x:v>
      </x:c>
      <x:c r="F193" s="223" t="str">
        <x:v>Passed</x:v>
      </x:c>
      <x:c r="G193" s="223" t="str">
        <x:v>Module-level supporting evidence; not full UC acceptance.</x:v>
      </x:c>
    </x:row>
    <x:row r="194" ht="60" customHeight="1">
      <x:c r="A194" s="223" t="str">
        <x:v>UT-190</x:v>
      </x:c>
      <x:c r="B194" s="223" t="str">
        <x:v>UC06, UC40</x:v>
      </x:c>
      <x:c r="C194" s="223" t="str">
        <x:v>SmartLibrary.UnitTests.Features.Rag.SearchTopicGuardTests.EnglishLanguageLearningQuery_RecognizesLanguageAndRejectsBooksMerelyWrittenInEnglish</x:v>
      </x:c>
      <x:c r="D194" s="223" t="str">
        <x:v>apps/api/tests/SmartLibrary.UnitTests/Features/Rag/SearchTopicGuardTests.cs:83</x:v>
      </x:c>
      <x:c r="E194" s="223" t="str">
        <x:v>evidence/unit.trx</x:v>
      </x:c>
      <x:c r="F194" s="223" t="str">
        <x:v>Passed</x:v>
      </x:c>
      <x:c r="G194" s="223" t="str">
        <x:v>Module-level supporting evidence; not full UC acceptance.</x:v>
      </x:c>
    </x:row>
    <x:row r="195" ht="60" customHeight="1">
      <x:c r="A195" s="223" t="str">
        <x:v>UT-191</x:v>
      </x:c>
      <x:c r="B195" s="223" t="str">
        <x:v>UC06, UC40</x:v>
      </x:c>
      <x:c r="C195" s="223" t="str">
        <x:v>SmartLibrary.UnitTests.Features.Rag.SearchTopicGuardTests.ForeignLanguageCategory_IsNotAVagueLanguageQuestion</x:v>
      </x:c>
      <x:c r="D195" s="223" t="str">
        <x:v>apps/api/tests/SmartLibrary.UnitTests/Features/Rag/SearchTopicGuardTests.cs:153</x:v>
      </x:c>
      <x:c r="E195" s="223" t="str">
        <x:v>evidence/unit.trx</x:v>
      </x:c>
      <x:c r="F195" s="223" t="str">
        <x:v>Passed</x:v>
      </x:c>
      <x:c r="G195" s="223" t="str">
        <x:v>Module-level supporting evidence; not full UC acceptance.</x:v>
      </x:c>
    </x:row>
    <x:row r="196" ht="60" customHeight="1">
      <x:c r="A196" s="223" t="str">
        <x:v>UT-192</x:v>
      </x:c>
      <x:c r="B196" s="223" t="str">
        <x:v>UC06, UC40</x:v>
      </x:c>
      <x:c r="C196" s="223" t="str">
        <x:v>SmartLibrary.UnitTests.Features.Rag.SearchTopicGuardTests.JapaneseEsp_RejectsPythonAndEnglishGrammar</x:v>
      </x:c>
      <x:c r="D196" s="223" t="str">
        <x:v>apps/api/tests/SmartLibrary.UnitTests/Features/Rag/SearchTopicGuardTests.cs:9</x:v>
      </x:c>
      <x:c r="E196" s="223" t="str">
        <x:v>evidence/unit.trx</x:v>
      </x:c>
      <x:c r="F196" s="223" t="str">
        <x:v>Passed</x:v>
      </x:c>
      <x:c r="G196" s="223" t="str">
        <x:v>Module-level supporting evidence; not full UC acceptance.</x:v>
      </x:c>
    </x:row>
    <x:row r="197" ht="60" customHeight="1">
      <x:c r="A197" s="223" t="str">
        <x:v>UT-193</x:v>
      </x:c>
      <x:c r="B197" s="223" t="str">
        <x:v>UC06, UC40</x:v>
      </x:c>
      <x:c r="C197" s="223" t="str">
        <x:v>SmartLibrary.UnitTests.Features.Rag.SearchTopicGuardTests.JapaneseIt_RequiresBothLanguageAndIt</x:v>
      </x:c>
      <x:c r="D197" s="223" t="str">
        <x:v>apps/api/tests/SmartLibrary.UnitTests/Features/Rag/SearchTopicGuardTests.cs:21</x:v>
      </x:c>
      <x:c r="E197" s="223" t="str">
        <x:v>evidence/unit.trx</x:v>
      </x:c>
      <x:c r="F197" s="223" t="str">
        <x:v>Passed</x:v>
      </x:c>
      <x:c r="G197" s="223" t="str">
        <x:v>Module-level supporting evidence; not full UC acceptance.</x:v>
      </x:c>
    </x:row>
    <x:row r="198" ht="60" customHeight="1">
      <x:c r="A198" s="223" t="str">
        <x:v>UT-194</x:v>
      </x:c>
      <x:c r="B198" s="223" t="str">
        <x:v>UC06, UC40</x:v>
      </x:c>
      <x:c r="C198" s="223" t="str">
        <x:v>SmartLibrary.UnitTests.Features.Rag.SearchTopicGuardTests.KoreanLanguageLearningQuery_MatchesIntegratedKoreanEvenWhenBookMetadataLanguageIsEnglish</x:v>
      </x:c>
      <x:c r="D198" s="223" t="str">
        <x:v>apps/api/tests/SmartLibrary.UnitTests/Features/Rag/SearchTopicGuardTests.cs:114</x:v>
      </x:c>
      <x:c r="E198" s="223" t="str">
        <x:v>evidence/unit.trx</x:v>
      </x:c>
      <x:c r="F198" s="223" t="str">
        <x:v>Passed</x:v>
      </x:c>
      <x:c r="G198" s="223" t="str">
        <x:v>Module-level supporting evidence; not full UC acceptance.</x:v>
      </x:c>
    </x:row>
    <x:row r="199" ht="60" customHeight="1">
      <x:c r="A199" s="223" t="str">
        <x:v>UT-195</x:v>
      </x:c>
      <x:c r="B199" s="223" t="str">
        <x:v>UC06, UC40</x:v>
      </x:c>
      <x:c r="C199" s="223" t="str">
        <x:v>SmartLibrary.UnitTests.Features.Rag.SearchTopicGuardTests.LanguageLearningWithoutLanguage_NeedsClarification</x:v>
      </x:c>
      <x:c r="D199" s="223" t="str">
        <x:v>apps/api/tests/SmartLibrary.UnitTests/Features/Rag/SearchTopicGuardTests.cs:75</x:v>
      </x:c>
      <x:c r="E199" s="223" t="str">
        <x:v>evidence/unit.trx</x:v>
      </x:c>
      <x:c r="F199" s="223" t="str">
        <x:v>Passed</x:v>
      </x:c>
      <x:c r="G199" s="223" t="str">
        <x:v>Module-level supporting evidence; not full UC acceptance.</x:v>
      </x:c>
    </x:row>
    <x:row r="200" ht="60" customHeight="1">
      <x:c r="A200" s="223" t="str">
        <x:v>UT-196</x:v>
      </x:c>
      <x:c r="B200" s="223" t="str">
        <x:v>UC06, UC40</x:v>
      </x:c>
      <x:c r="C200" s="223" t="str">
        <x:v>SmartLibrary.UnitTests.Features.Rag.SearchTopicGuardTests.LiteratureCategory_FindsVietnameseFiction</x:v>
      </x:c>
      <x:c r="D200" s="223" t="str">
        <x:v>apps/api/tests/SmartLibrary.UnitTests/Features/Rag/SearchTopicGuardTests.cs:243</x:v>
      </x:c>
      <x:c r="E200" s="223" t="str">
        <x:v>evidence/unit.trx</x:v>
      </x:c>
      <x:c r="F200" s="223" t="str">
        <x:v>Passed</x:v>
      </x:c>
      <x:c r="G200" s="223" t="str">
        <x:v>Module-level supporting evidence; not full UC acceptance.</x:v>
      </x:c>
    </x:row>
    <x:row r="201" ht="60" customHeight="1">
      <x:c r="A201" s="223" t="str">
        <x:v>UT-197</x:v>
      </x:c>
      <x:c r="B201" s="223" t="str">
        <x:v>UC06, UC40</x:v>
      </x:c>
      <x:c r="C201" s="223" t="str">
        <x:v>SmartLibrary.UnitTests.Features.Rag.SearchTopicGuardTests.MatchLabel_DoesNotUseRawCosinePercent</x:v>
      </x:c>
      <x:c r="D201" s="223" t="str">
        <x:v>apps/api/tests/SmartLibrary.UnitTests/Features/Rag/SearchTopicGuardTests.cs:68</x:v>
      </x:c>
      <x:c r="E201" s="223" t="str">
        <x:v>evidence/unit.trx</x:v>
      </x:c>
      <x:c r="F201" s="223" t="str">
        <x:v>Passed</x:v>
      </x:c>
      <x:c r="G201" s="223" t="str">
        <x:v>Module-level supporting evidence; not full UC acceptance.</x:v>
      </x:c>
    </x:row>
    <x:row r="202" ht="60" customHeight="1">
      <x:c r="A202" s="223" t="str">
        <x:v>UT-198</x:v>
      </x:c>
      <x:c r="B202" s="223" t="str">
        <x:v>UC06, UC40</x:v>
      </x:c>
      <x:c r="C202" s="223" t="str">
        <x:v>SmartLibrary.UnitTests.Features.Rag.SearchTopicGuardTests.PythonQuery_RequiresPython</x:v>
      </x:c>
      <x:c r="D202" s="223" t="str">
        <x:v>apps/api/tests/SmartLibrary.UnitTests/Features/Rag/SearchTopicGuardTests.cs:31</x:v>
      </x:c>
      <x:c r="E202" s="223" t="str">
        <x:v>evidence/unit.trx</x:v>
      </x:c>
      <x:c r="F202" s="223" t="str">
        <x:v>Passed</x:v>
      </x:c>
      <x:c r="G202" s="223" t="str">
        <x:v>Module-level supporting evidence; not full UC acceptance.</x:v>
      </x:c>
    </x:row>
    <x:row r="203" ht="60" customHeight="1">
      <x:c r="A203" s="223" t="str">
        <x:v>UT-199</x:v>
      </x:c>
      <x:c r="B203" s="223" t="str">
        <x:v>UC37</x:v>
      </x:c>
      <x:c r="C203" s="223" t="str">
        <x:v>SmartLibrary.UnitTests.Features.Reports.ReportWorkflowContractTests.CreateReportPayload_AcceptsOptionalRequestId</x:v>
      </x:c>
      <x:c r="D203" s="223" t="str">
        <x:v>apps/api/tests/SmartLibrary.UnitTests/Features/Reports/ReportWorkflowContractTests.cs:47</x:v>
      </x:c>
      <x:c r="E203" s="223" t="str">
        <x:v>evidence/unit.trx</x:v>
      </x:c>
      <x:c r="F203" s="223" t="str">
        <x:v>Passed</x:v>
      </x:c>
      <x:c r="G203" s="223" t="str">
        <x:v>Module-level supporting evidence; not full UC acceptance.</x:v>
      </x:c>
    </x:row>
    <x:row r="204" ht="60" customHeight="1">
      <x:c r="A204" s="223" t="str">
        <x:v>UT-200</x:v>
      </x:c>
      <x:c r="B204" s="223" t="str">
        <x:v>UC37</x:v>
      </x:c>
      <x:c r="C204" s="223" t="str">
        <x:v>SmartLibrary.UnitTests.Features.Reports.ReportWorkflowContractTests.NewReportRequest_DefaultsToPending</x:v>
      </x:c>
      <x:c r="D204" s="223" t="str">
        <x:v>apps/api/tests/SmartLibrary.UnitTests/Features/Reports/ReportWorkflowContractTests.cs:59</x:v>
      </x:c>
      <x:c r="E204" s="223" t="str">
        <x:v>evidence/unit.trx</x:v>
      </x:c>
      <x:c r="F204" s="223" t="str">
        <x:v>Passed</x:v>
      </x:c>
      <x:c r="G204" s="223" t="str">
        <x:v>Module-level supporting evidence; not full UC acceptance.</x:v>
      </x:c>
    </x:row>
    <x:row r="205" ht="60" customHeight="1">
      <x:c r="A205" s="223" t="str">
        <x:v>UT-201</x:v>
      </x:c>
      <x:c r="B205" s="223" t="str">
        <x:v>UC37</x:v>
      </x:c>
      <x:c r="C205" s="223" t="str">
        <x:v>SmartLibrary.UnitTests.Features.Reports.ReportWorkflowContractTests.RejectionPayload_DeserializesExplicitFlagAndReason</x:v>
      </x:c>
      <x:c r="D205" s="223" t="str">
        <x:v>apps/api/tests/SmartLibrary.UnitTests/Features/Reports/ReportWorkflowContractTests.cs:35</x:v>
      </x:c>
      <x:c r="E205" s="223" t="str">
        <x:v>evidence/unit.trx</x:v>
      </x:c>
      <x:c r="F205" s="223" t="str">
        <x:v>Passed</x:v>
      </x:c>
      <x:c r="G205" s="223" t="str">
        <x:v>Module-level supporting evidence; not full UC acceptance.</x:v>
      </x:c>
    </x:row>
    <x:row r="206" ht="60" customHeight="1">
      <x:c r="A206" s="223" t="str">
        <x:v>UT-202</x:v>
      </x:c>
      <x:c r="B206" s="223" t="str">
        <x:v>UC37</x:v>
      </x:c>
      <x:c r="C206" s="223" t="str">
        <x:v>SmartLibrary.UnitTests.Features.Reports.ReportWorkflowContractTests.ReportImportSchema_OnlyExposesBorrowAndReturnCountsForLegacyTemplates</x:v>
      </x:c>
      <x:c r="D206" s="223" t="str">
        <x:v>apps/api/tests/SmartLibrary.UnitTests/Features/Reports/ReportWorkflowContractTests.cs:65</x:v>
      </x:c>
      <x:c r="E206" s="223" t="str">
        <x:v>evidence/unit.trx</x:v>
      </x:c>
      <x:c r="F206" s="223" t="str">
        <x:v>Passed</x:v>
      </x:c>
      <x:c r="G206" s="223" t="str">
        <x:v>Module-level supporting evidence; not full UC acceptance.</x:v>
      </x:c>
    </x:row>
    <x:row r="207" ht="60" customHeight="1">
      <x:c r="A207" s="223" t="str">
        <x:v>UT-203</x:v>
      </x:c>
      <x:c r="B207" s="223" t="str">
        <x:v>UC37</x:v>
      </x:c>
      <x:c r="C207" s="223" t="str">
        <x:v>SmartLibrary.UnitTests.Features.Reports.ReportWorkflowContractTests.ReportRequestDto_ExposesAssignmentAndLatestReviewFields</x:v>
      </x:c>
      <x:c r="D207" s="223" t="str">
        <x:v>apps/api/tests/SmartLibrary.UnitTests/Features/Reports/ReportWorkflowContractTests.cs:13</x:v>
      </x:c>
      <x:c r="E207" s="223" t="str">
        <x:v>evidence/unit.trx</x:v>
      </x:c>
      <x:c r="F207" s="223" t="str">
        <x:v>Passed</x:v>
      </x:c>
      <x:c r="G207" s="223" t="str">
        <x:v>Module-level supporting evidence; not full UC acceptance.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30" hidden="0" customWidth="1"/>
    <x:col min="3" max="3" width="35" hidden="0" customWidth="1"/>
    <x:col min="4" max="4" width="25" hidden="0" customWidth="1"/>
    <x:col min="5" max="5" width="50" hidden="0" customWidth="1"/>
    <x:col min="6" max="6" width="65" hidden="0" customWidth="1"/>
  </x:cols>
  <x:sheetData>
    <x:row r="2">
      <x:c r="A2" s="242" t="str">
        <x:v>Mandatory Features</x:v>
      </x:c>
    </x:row>
    <x:row r="4" ht="32" customHeight="1">
      <x:c r="A4" s="218" t="str">
        <x:v>Group ID</x:v>
      </x:c>
      <x:c r="B4" s="218" t="str">
        <x:v>Feature</x:v>
      </x:c>
      <x:c r="C4" s="218" t="str">
        <x:v>Report 3 UCs</x:v>
      </x:c>
      <x:c r="D4" s="218" t="str">
        <x:v>Actors</x:v>
      </x:c>
      <x:c r="E4" s="218" t="str">
        <x:v>Code reference</x:v>
      </x:c>
      <x:c r="F4" s="218" t="str">
        <x:v>Commitment status</x:v>
      </x:c>
    </x:row>
    <x:row r="5" ht="60" customHeight="1">
      <x:c r="A5" s="223" t="str">
        <x:v>MF-01</x:v>
      </x:c>
      <x:c r="B5" s="223" t="str">
        <x:v>Identity</x:v>
      </x:c>
      <x:c r="C5" s="223" t="str">
        <x:v>UC01, UC02, UC03, UC18</x:v>
      </x:c>
      <x:c r="D5" s="223" t="str">
        <x:v>Reader / Librarian</x:v>
      </x:c>
      <x:c r="E5" s="223" t="str">
        <x:v>AuthController; RegistrationsController; MeController</x:v>
      </x:c>
      <x:c r="F5" s="223" t="str">
        <x:v>Candidate mandatory grouping from Report 1 scope and Report 3; BM04 confirmation pending</x:v>
      </x:c>
    </x:row>
    <x:row r="6" ht="60" customHeight="1">
      <x:c r="A6" s="223" t="str">
        <x:v>MF-02</x:v>
      </x:c>
      <x:c r="B6" s="223" t="str">
        <x:v>Catalog</x:v>
      </x:c>
      <x:c r="C6" s="223" t="str">
        <x:v>UC04, UC05, UC28, UC29</x:v>
      </x:c>
      <x:c r="D6" s="223" t="str">
        <x:v>Reader / Librarian</x:v>
      </x:c>
      <x:c r="E6" s="223" t="str">
        <x:v>BooksController; BookCopiesController; CategoriesController</x:v>
      </x:c>
      <x:c r="F6" s="223" t="str">
        <x:v>Candidate mandatory grouping from Report 1 scope and Report 3; BM04 confirmation pending</x:v>
      </x:c>
    </x:row>
    <x:row r="7" ht="60" customHeight="1">
      <x:c r="A7" s="223" t="str">
        <x:v>MF-03</x:v>
      </x:c>
      <x:c r="B7" s="223" t="str">
        <x:v>Borrow</x:v>
      </x:c>
      <x:c r="C7" s="223" t="str">
        <x:v>UC08, UC22, UC23</x:v>
      </x:c>
      <x:c r="D7" s="223" t="str">
        <x:v>Reader / Librarian</x:v>
      </x:c>
      <x:c r="E7" s="223" t="str">
        <x:v>CirculationMeController; CirculationController</x:v>
      </x:c>
      <x:c r="F7" s="223" t="str">
        <x:v>Candidate mandatory grouping from Report 1 scope and Report 3; BM04 confirmation pending</x:v>
      </x:c>
    </x:row>
    <x:row r="8" ht="60" customHeight="1">
      <x:c r="A8" s="223" t="str">
        <x:v>MF-04</x:v>
      </x:c>
      <x:c r="B8" s="223" t="str">
        <x:v>Return and incidents</x:v>
      </x:c>
      <x:c r="C8" s="223" t="str">
        <x:v>UC24, UC26</x:v>
      </x:c>
      <x:c r="D8" s="223" t="str">
        <x:v>Librarian / Reader</x:v>
      </x:c>
      <x:c r="E8" s="223" t="str">
        <x:v>CirculationController</x:v>
      </x:c>
      <x:c r="F8" s="223" t="str">
        <x:v>Candidate mandatory grouping from Report 1 scope and Report 3; BM04 confirmation pending</x:v>
      </x:c>
    </x:row>
    <x:row r="9" ht="60" customHeight="1">
      <x:c r="A9" s="223" t="str">
        <x:v>MF-05</x:v>
      </x:c>
      <x:c r="B9" s="223" t="str">
        <x:v>Renewal</x:v>
      </x:c>
      <x:c r="C9" s="223" t="str">
        <x:v>UC09, UC24</x:v>
      </x:c>
      <x:c r="D9" s="223" t="str">
        <x:v>Reader / Librarian</x:v>
      </x:c>
      <x:c r="E9" s="223" t="str">
        <x:v>CirculationMeController; CirculationController</x:v>
      </x:c>
      <x:c r="F9" s="223" t="str">
        <x:v>Candidate mandatory grouping from Report 1 scope and Report 3; BM04 confirmation pending</x:v>
      </x:c>
    </x:row>
    <x:row r="10" ht="60" customHeight="1">
      <x:c r="A10" s="223" t="str">
        <x:v>MF-06</x:v>
      </x:c>
      <x:c r="B10" s="223" t="str">
        <x:v>Reservation</x:v>
      </x:c>
      <x:c r="C10" s="223" t="str">
        <x:v>UC10, UC25</x:v>
      </x:c>
      <x:c r="D10" s="223" t="str">
        <x:v>Reader / Librarian</x:v>
      </x:c>
      <x:c r="E10" s="223" t="str">
        <x:v>CirculationMeController; CirculationController</x:v>
      </x:c>
      <x:c r="F10" s="223" t="str">
        <x:v>Candidate mandatory grouping from Report 1 scope and Report 3; BM04 confirmation pending</x:v>
      </x:c>
    </x:row>
    <x:row r="11" ht="60" customHeight="1">
      <x:c r="A11" s="223" t="str">
        <x:v>MF-07</x:v>
      </x:c>
      <x:c r="B11" s="223" t="str">
        <x:v>Fine payment</x:v>
      </x:c>
      <x:c r="C11" s="223" t="str">
        <x:v>UC16, UC30</x:v>
      </x:c>
      <x:c r="D11" s="223" t="str">
        <x:v>Reader / Librarian / PayOS</x:v>
      </x:c>
      <x:c r="E11" s="223" t="str">
        <x:v>CirculationMeController; CirculationController; PayOSWebhookController</x:v>
      </x:c>
      <x:c r="F11" s="223" t="str">
        <x:v>Candidate mandatory grouping from Report 1 scope and Report 3; BM04 confirmation pending</x:v>
      </x:c>
    </x:row>
    <x:row r="12" ht="60" customHeight="1">
      <x:c r="A12" s="223" t="str">
        <x:v>MF-08</x:v>
      </x:c>
      <x:c r="B12" s="223" t="str">
        <x:v>Profiles and readers</x:v>
      </x:c>
      <x:c r="C12" s="223" t="str">
        <x:v>UC07, UC19, UC20</x:v>
      </x:c>
      <x:c r="D12" s="223" t="str">
        <x:v>Reader / Librarian</x:v>
      </x:c>
      <x:c r="E12" s="223" t="str">
        <x:v>ProfileController; ReadersController; LibrarianUsersController</x:v>
      </x:c>
      <x:c r="F12" s="223" t="str">
        <x:v>Candidate mandatory grouping from Report 1 scope and Report 3; BM04 confirmation pending</x:v>
      </x:c>
    </x:row>
    <x:row r="13" ht="60" customHeight="1">
      <x:c r="A13" s="223" t="str">
        <x:v>MF-09</x:v>
      </x:c>
      <x:c r="B13" s="223" t="str">
        <x:v>Reviews</x:v>
      </x:c>
      <x:c r="C13" s="223" t="str">
        <x:v>UC11, UC12</x:v>
      </x:c>
      <x:c r="D13" s="223" t="str">
        <x:v>Reader / Librarian</x:v>
      </x:c>
      <x:c r="E13" s="223" t="str">
        <x:v>BookReviewsController</x:v>
      </x:c>
      <x:c r="F13" s="223" t="str">
        <x:v>Candidate mandatory grouping from Report 1 scope and Report 3; BM04 confirmation pending</x:v>
      </x:c>
    </x:row>
    <x:row r="14" ht="60" customHeight="1">
      <x:c r="A14" s="223" t="str">
        <x:v>MF-10</x:v>
      </x:c>
      <x:c r="B14" s="223" t="str">
        <x:v>Support</x:v>
      </x:c>
      <x:c r="C14" s="223" t="str">
        <x:v>UC13, UC14, UC15, UC27</x:v>
      </x:c>
      <x:c r="D14" s="223" t="str">
        <x:v>Reader / Librarian</x:v>
      </x:c>
      <x:c r="E14" s="223" t="str">
        <x:v>SupportController</x:v>
      </x:c>
      <x:c r="F14" s="223" t="str">
        <x:v>Candidate mandatory grouping from Report 1 scope and Report 3; BM04 confirmation pending</x:v>
      </x:c>
    </x:row>
    <x:row r="15" ht="60" customHeight="1">
      <x:c r="A15" s="223" t="str">
        <x:v>MF-11</x:v>
      </x:c>
      <x:c r="B15" s="223" t="str">
        <x:v>News and notifications</x:v>
      </x:c>
      <x:c r="C15" s="223" t="str">
        <x:v>UC17, UC21, UC31</x:v>
      </x:c>
      <x:c r="D15" s="223" t="str">
        <x:v>Reader / Librarian</x:v>
      </x:c>
      <x:c r="E15" s="223" t="str">
        <x:v>NewsController; NotificationsController</x:v>
      </x:c>
      <x:c r="F15" s="223" t="str">
        <x:v>Candidate mandatory grouping from Report 1 scope and Report 3; BM04 confirmation pending</x:v>
      </x:c>
    </x:row>
    <x:row r="16" ht="60" customHeight="1">
      <x:c r="A16" s="223" t="str">
        <x:v>MF-12</x:v>
      </x:c>
      <x:c r="B16" s="223" t="str">
        <x:v>Users and permissions</x:v>
      </x:c>
      <x:c r="C16" s="223" t="str">
        <x:v>UC33, UC34</x:v>
      </x:c>
      <x:c r="D16" s="223" t="str">
        <x:v>Admin</x:v>
      </x:c>
      <x:c r="E16" s="223" t="str">
        <x:v>AdminUsersController</x:v>
      </x:c>
      <x:c r="F16" s="223" t="str">
        <x:v>Candidate mandatory grouping from Report 1 scope and Report 3; BM04 confirmation pending</x:v>
      </x:c>
    </x:row>
    <x:row r="17" ht="60" customHeight="1">
      <x:c r="A17" s="223" t="str">
        <x:v>MF-13</x:v>
      </x:c>
      <x:c r="B17" s="223" t="str">
        <x:v>Policies</x:v>
      </x:c>
      <x:c r="C17" s="223" t="str">
        <x:v>UC35</x:v>
      </x:c>
      <x:c r="D17" s="223" t="str">
        <x:v>Admin / Reader</x:v>
      </x:c>
      <x:c r="E17" s="223" t="str">
        <x:v>PolicyRulesController; RegulationsController</x:v>
      </x:c>
      <x:c r="F17" s="223" t="str">
        <x:v>Candidate mandatory grouping from Report 1 scope and Report 3; BM04 confirmation pending</x:v>
      </x:c>
    </x:row>
    <x:row r="18" ht="60" customHeight="1">
      <x:c r="A18" s="223" t="str">
        <x:v>MF-14</x:v>
      </x:c>
      <x:c r="B18" s="223" t="str">
        <x:v>AI configuration</x:v>
      </x:c>
      <x:c r="C18" s="223" t="str">
        <x:v>UC36</x:v>
      </x:c>
      <x:c r="D18" s="223" t="str">
        <x:v>Admin</x:v>
      </x:c>
      <x:c r="E18" s="223" t="str">
        <x:v>AiSettingsController</x:v>
      </x:c>
      <x:c r="F18" s="223" t="str">
        <x:v>Candidate mandatory grouping from Report 1 scope and Report 3; BM04 confirmation pending</x:v>
      </x:c>
    </x:row>
    <x:row r="19" ht="60" customHeight="1">
      <x:c r="A19" s="223" t="str">
        <x:v>MF-15</x:v>
      </x:c>
      <x:c r="B19" s="223" t="str">
        <x:v>AI search and recommendations</x:v>
      </x:c>
      <x:c r="C19" s="223" t="str">
        <x:v>UC06, UC32, UC38, UC39, UC40</x:v>
      </x:c>
      <x:c r="D19" s="223" t="str">
        <x:v>Reader / Librarian / AI</x:v>
      </x:c>
      <x:c r="E19" s="223" t="str">
        <x:v>RagController; AiSettingsController; DashboardController</x:v>
      </x:c>
      <x:c r="F19" s="223" t="str">
        <x:v>Candidate mandatory grouping from Report 1 scope and Report 3; BM04 confirmation pending</x:v>
      </x:c>
    </x:row>
    <x:row r="20" ht="60" customHeight="1">
      <x:c r="A20" s="223" t="str">
        <x:v>MF-16</x:v>
      </x:c>
      <x:c r="B20" s="223" t="str">
        <x:v>Reports and statistics</x:v>
      </x:c>
      <x:c r="C20" s="223" t="str">
        <x:v>UC37</x:v>
      </x:c>
      <x:c r="D20" s="223" t="str">
        <x:v>Admin / Librarian</x:v>
      </x:c>
      <x:c r="E20" s="223" t="str">
        <x:v>AdminReportsController; LibrarianReportsController; DashboardController</x:v>
      </x:c>
      <x:c r="F20" s="223" t="str">
        <x:v>Candidate mandatory grouping from Report 1 scope and Report 3; BM04 confirmation pending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32" hidden="0" customWidth="1"/>
    <x:col min="3" max="3" width="35" hidden="0" customWidth="1"/>
    <x:col min="4" max="4" width="30" hidden="0" customWidth="1"/>
    <x:col min="5" max="5" width="85" hidden="0" customWidth="1"/>
    <x:col min="6" max="6" width="18" hidden="0" customWidth="1"/>
  </x:cols>
  <x:sheetData>
    <x:row r="2">
      <x:c r="A2" s="242" t="str">
        <x:v>Main Workflows</x:v>
      </x:c>
    </x:row>
    <x:row r="4" ht="32" customHeight="1">
      <x:c r="A4" s="218" t="str">
        <x:v>ID</x:v>
      </x:c>
      <x:c r="B4" s="218" t="str">
        <x:v>Workflow</x:v>
      </x:c>
      <x:c r="C4" s="218" t="str">
        <x:v>Actors</x:v>
      </x:c>
      <x:c r="D4" s="218" t="str">
        <x:v>Feature</x:v>
      </x:c>
      <x:c r="E4" s="218" t="str">
        <x:v>Steps</x:v>
      </x:c>
      <x:c r="F4" s="218" t="str">
        <x:v>Browser verdict</x:v>
      </x:c>
    </x:row>
    <x:row r="5" ht="60" customHeight="1">
      <x:c r="A5" s="223" t="str">
        <x:v>WF-01</x:v>
      </x:c>
      <x:c r="B5" s="223" t="str">
        <x:v>Registration and approval</x:v>
      </x:c>
      <x:c r="C5" s="223" t="str">
        <x:v>Reader → System → Librarian</x:v>
      </x:c>
      <x:c r="D5" s="223" t="str">
        <x:v>Identity</x:v>
      </x:c>
      <x:c r="E5" s="223" t="str">
        <x:v>Submit profile, verify applicable email/documents, review, approve/reject/more-info, resubmit as a new request.</x:v>
      </x:c>
      <x:c r="F5" s="223" t="str">
        <x:v>Not Tested</x:v>
      </x:c>
    </x:row>
    <x:row r="6" ht="60" customHeight="1">
      <x:c r="A6" s="223" t="str">
        <x:v>WF-02</x:v>
      </x:c>
      <x:c r="B6" s="223" t="str">
        <x:v>Borrow and handover</x:v>
      </x:c>
      <x:c r="C6" s="223" t="str">
        <x:v>Reader → Librarian</x:v>
      </x:c>
      <x:c r="D6" s="223" t="str">
        <x:v>Borrow</x:v>
      </x:c>
      <x:c r="E6" s="223" t="str">
        <x:v>Select book/slot, submit Pending, approve, verify reader and hand over, record Borrowed.</x:v>
      </x:c>
      <x:c r="F6" s="223" t="str">
        <x:v>Not Tested</x:v>
      </x:c>
    </x:row>
    <x:row r="7" ht="60" customHeight="1">
      <x:c r="A7" s="223" t="str">
        <x:v>WF-03</x:v>
      </x:c>
      <x:c r="B7" s="223" t="str">
        <x:v>Return and incident handling</x:v>
      </x:c>
      <x:c r="C7" s="223" t="str">
        <x:v>Reader → Librarian</x:v>
      </x:c>
      <x:c r="D7" s="223" t="str">
        <x:v>Return and incidents</x:v>
      </x:c>
      <x:c r="E7" s="223" t="str">
        <x:v>Return, inspect, calculate overdue or open lost/damaged incident, assess/settle compensation, update copy.</x:v>
      </x:c>
      <x:c r="F7" s="223" t="str">
        <x:v>Not Tested</x:v>
      </x:c>
    </x:row>
    <x:row r="8" ht="60" customHeight="1">
      <x:c r="A8" s="223" t="str">
        <x:v>WF-04</x:v>
      </x:c>
      <x:c r="B8" s="223" t="str">
        <x:v>Fine payment</x:v>
      </x:c>
      <x:c r="C8" s="223" t="str">
        <x:v>Reader → PayOS → System / Librarian</x:v>
      </x:c>
      <x:c r="D8" s="223" t="str">
        <x:v>Fine payment</x:v>
      </x:c>
      <x:c r="E8" s="223" t="str">
        <x:v>View fine, choose online or cash, reconcile webhook, verify final fine/payment state.</x:v>
      </x:c>
      <x:c r="F8" s="223" t="str">
        <x:v>Not Tested</x:v>
      </x:c>
    </x:row>
    <x:row r="9" ht="60" customHeight="1">
      <x:c r="A9" s="223" t="str">
        <x:v>WF-05</x:v>
      </x:c>
      <x:c r="B9" s="223" t="str">
        <x:v>Catalog and copy management</x:v>
      </x:c>
      <x:c r="C9" s="223" t="str">
        <x:v>Librarian → Reader</x:v>
      </x:c>
      <x:c r="D9" s="223" t="str">
        <x:v>Catalog</x:v>
      </x:c>
      <x:c r="E9" s="223" t="str">
        <x:v>Create/update book, cover/location, intake copies, verify discovery and availability.</x:v>
      </x:c>
      <x:c r="F9" s="223" t="str">
        <x:v>Not Tested</x:v>
      </x:c>
    </x:row>
    <x:row r="10" ht="60" customHeight="1">
      <x:c r="A10" s="223" t="str">
        <x:v>WF-06</x:v>
      </x:c>
      <x:c r="B10" s="223" t="str">
        <x:v>Reservation and renewal</x:v>
      </x:c>
      <x:c r="C10" s="223" t="str">
        <x:v>Reader → Librarian</x:v>
      </x:c>
      <x:c r="D10" s="223" t="str">
        <x:v>Reservation</x:v>
      </x:c>
      <x:c r="E10" s="223" t="str">
        <x:v>Queue unavailable title, allocate/expire hold; request and process renewal subject to policy.</x:v>
      </x:c>
      <x:c r="F10" s="223" t="str">
        <x:v>Not Tested</x:v>
      </x:c>
    </x:row>
    <x:row r="11" ht="60" customHeight="1">
      <x:c r="A11" s="223" t="str">
        <x:v>WF-07</x:v>
      </x:c>
      <x:c r="B11" s="223" t="str">
        <x:v>Support and announcements</x:v>
      </x:c>
      <x:c r="C11" s="223" t="str">
        <x:v>Reader ↔ Librarian</x:v>
      </x:c>
      <x:c r="D11" s="223" t="str">
        <x:v>Support</x:v>
      </x:c>
      <x:c r="E11" s="223" t="str">
        <x:v>Submit support, reply, verify participant history; publish announcement and verify reader view.</x:v>
      </x:c>
      <x:c r="F11" s="223" t="str">
        <x:v>Not Tested</x:v>
      </x:c>
    </x:row>
    <x:row r="12" ht="60" customHeight="1">
      <x:c r="A12" s="223" t="str">
        <x:v>WF-08</x:v>
      </x:c>
      <x:c r="B12" s="223" t="str">
        <x:v>Administration and reporting</x:v>
      </x:c>
      <x:c r="C12" s="223" t="str">
        <x:v>Admin → Librarian</x:v>
      </x:c>
      <x:c r="D12" s="223" t="str">
        <x:v>Reports and statistics</x:v>
      </x:c>
      <x:c r="E12" s="223" t="str">
        <x:v>Configure policy/users, assign/generate/review/export report and validate totals.</x:v>
      </x:c>
      <x:c r="F12" s="223" t="str">
        <x:v>Not Tested</x:v>
      </x:c>
    </x:row>
    <x:row r="13" ht="60" customHeight="1">
      <x:c r="A13" s="223" t="str">
        <x:v>WF-09</x:v>
      </x:c>
      <x:c r="B13" s="223" t="str">
        <x:v>AI discovery</x:v>
      </x:c>
      <x:c r="C13" s="223" t="str">
        <x:v>Reader → AI → Catalog</x:v>
      </x:c>
      <x:c r="D13" s="223" t="str">
        <x:v>AI search and recommendations</x:v>
      </x:c>
      <x:c r="E13" s="223" t="str">
        <x:v>Submit natural-language query, retrieve catalog sources, return relevance and graceful fallback.</x:v>
      </x:c>
      <x:c r="F13" s="223" t="str">
        <x:v>Not Tested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65" hidden="0" customWidth="1"/>
    <x:col min="5" max="5" width="55" hidden="0" customWidth="1"/>
    <x:col min="6" max="6" width="75" hidden="0" customWidth="1"/>
    <x:col min="7" max="7" width="75" hidden="0" customWidth="1"/>
  </x:cols>
  <x:sheetData>
    <x:row r="2">
      <x:c r="A2" s="242" t="str">
        <x:v>Defects</x:v>
      </x:c>
    </x:row>
    <x:row r="4" ht="32" customHeight="1">
      <x:c r="A4" s="218" t="str">
        <x:v>ID</x:v>
      </x:c>
      <x:c r="B4" s="218" t="str">
        <x:v>Status</x:v>
      </x:c>
      <x:c r="C4" s="218" t="str">
        <x:v>Severity</x:v>
      </x:c>
      <x:c r="D4" s="218" t="str">
        <x:v>Steps</x:v>
      </x:c>
      <x:c r="E4" s="218" t="str">
        <x:v>Expected</x:v>
      </x:c>
      <x:c r="F4" s="218" t="str">
        <x:v>Actual</x:v>
      </x:c>
      <x:c r="G4" s="218" t="str">
        <x:v>Evidence / source</x:v>
      </x:c>
    </x:row>
    <x:row r="5" ht="60" customHeight="1">
      <x:c r="A5" s="223" t="str">
        <x:v>R5-DEF-001</x:v>
      </x:c>
      <x:c r="B5" s="223" t="str">
        <x:v>Open / Fail</x:v>
      </x:c>
      <x:c r="C5" s="223" t="str">
        <x:v>High — proposed</x:v>
      </x:c>
      <x:c r="D5" s="223" t="str">
        <x:v>Seed Submitted; approve; POST request-more-info on same ID.</x:v>
      </x:c>
      <x:c r="E5" s="223" t="str">
        <x:v>Reject terminal-state transition; keep Approved / Active.</x:v>
      </x:c>
      <x:c r="F5" s="223" t="str">
        <x:v>Second API call succeeds. Source writes NeedMoreInfo / PendingDocuments; post-action DB assertion not reached.</x:v>
      </x:c>
      <x:c r="G5" s="223" t="str">
        <x:v>integration.trx :: Registration_ApprovedRequest_CannotBeReopenedForDocuments; RegistrationService.cs:193–208</x:v>
      </x:c>
    </x:row>
    <x:row r="6" ht="110" customHeight="1">
      <x:c r="A6" s="223" t="str">
        <x:v>R5-DEF-002</x:v>
      </x:c>
      <x:c r="B6" s="223" t="str">
        <x:v>Open / Fail</x:v>
      </x:c>
      <x:c r="C6" s="223" t="str">
        <x:v>High — proposed</x:v>
      </x:c>
      <x:c r="D6" s="223" t="str">
        <x:v>Reader POST /api/v1/books/form with unique Code, Title, TotalCopies=1.</x:v>
      </x:c>
      <x:c r="E6" s="223" t="str">
        <x:v>HTTP 403; no new book.</x:v>
      </x:c>
      <x:c r="F6" s="223" t="str">
        <x:v>HTTP 201; persisted=True in isolated PostgreSQL. JSON routes deny Reader, form route does not.</x:v>
      </x:c>
      <x:c r="G6" s="223" t="str">
        <x:v>evidence/planned-api/planned-api.trx :: ST_02_3_ReaderCannotMutateInventory; BooksController.CreateFromForm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2">
      <x:c r="A2" s="242" t="str">
        <x:v>NFR Results</x:v>
      </x:c>
    </x:row>
    <x:row r="4" ht="32" customHeight="1">
      <x:c r="A4" s="218" t="str">
        <x:v>Concurrency</x:v>
      </x:c>
      <x:c r="B4" s="218" t="str">
        <x:v>Requests</x:v>
      </x:c>
      <x:c r="C4" s="218" t="str">
        <x:v>Errors</x:v>
      </x:c>
      <x:c r="D4" s="218" t="str">
        <x:v>Duration s</x:v>
      </x:c>
      <x:c r="E4" s="218" t="str">
        <x:v>Requests/s</x:v>
      </x:c>
      <x:c r="F4" s="218" t="str">
        <x:v>Mean ms</x:v>
      </x:c>
      <x:c r="G4" s="218" t="str">
        <x:v>P50 ms</x:v>
      </x:c>
      <x:c r="H4" s="218" t="str">
        <x:v>P95 ms</x:v>
      </x:c>
      <x:c r="I4" s="218" t="str">
        <x:v>P99 ms</x:v>
      </x:c>
      <x:c r="J4" s="218" t="str">
        <x:v>Max ms</x:v>
      </x:c>
    </x:row>
    <x:row r="5" ht="60" customHeight="1">
      <x:c r="A5" s="223" t="n">
        <x:v>1</x:v>
      </x:c>
      <x:c r="B5" s="223" t="n">
        <x:v>1200</x:v>
      </x:c>
      <x:c r="C5" s="223" t="n">
        <x:v>0</x:v>
      </x:c>
      <x:c r="D5" s="243" t="n">
        <x:v>3.7454752</x:v>
      </x:c>
      <x:c r="E5" s="243" t="n">
        <x:v>320.3865827225341</x:v>
      </x:c>
      <x:c r="F5" s="243" t="n">
        <x:v>3.1147869166666613</x:v>
      </x:c>
      <x:c r="G5" s="243" t="n">
        <x:v>3.0797</x:v>
      </x:c>
      <x:c r="H5" s="243" t="n">
        <x:v>3.7329</x:v>
      </x:c>
      <x:c r="I5" s="243" t="n">
        <x:v>4.7621</x:v>
      </x:c>
      <x:c r="J5" s="243" t="n">
        <x:v>14.093</x:v>
      </x:c>
    </x:row>
    <x:row r="6" ht="60" customHeight="1">
      <x:c r="A6" s="223" t="n">
        <x:v>10</x:v>
      </x:c>
      <x:c r="B6" s="223" t="n">
        <x:v>1200</x:v>
      </x:c>
      <x:c r="C6" s="223" t="n">
        <x:v>0</x:v>
      </x:c>
      <x:c r="D6" s="243" t="n">
        <x:v>0.888145</x:v>
      </x:c>
      <x:c r="E6" s="243" t="n">
        <x:v>1351.1307275275997</x:v>
      </x:c>
      <x:c r="F6" s="243" t="n">
        <x:v>7.379052416666668</x:v>
      </x:c>
      <x:c r="G6" s="243" t="n">
        <x:v>5.9975</x:v>
      </x:c>
      <x:c r="H6" s="243" t="n">
        <x:v>13.2181</x:v>
      </x:c>
      <x:c r="I6" s="243" t="n">
        <x:v>22.4111</x:v>
      </x:c>
      <x:c r="J6" s="243" t="n">
        <x:v>87.2991</x:v>
      </x:c>
    </x:row>
    <x:row r="7" ht="60" customHeight="1">
      <x:c r="A7" s="223" t="n">
        <x:v>50</x:v>
      </x:c>
      <x:c r="B7" s="223" t="n">
        <x:v>1200</x:v>
      </x:c>
      <x:c r="C7" s="223" t="n">
        <x:v>0</x:v>
      </x:c>
      <x:c r="D7" s="243" t="n">
        <x:v>0.8823202</x:v>
      </x:c>
      <x:c r="E7" s="243" t="n">
        <x:v>1360.0504669393265</x:v>
      </x:c>
      <x:c r="F7" s="243" t="n">
        <x:v>35.803729249999996</x:v>
      </x:c>
      <x:c r="G7" s="243" t="n">
        <x:v>33.8595</x:v>
      </x:c>
      <x:c r="H7" s="243" t="n">
        <x:v>50.0817</x:v>
      </x:c>
      <x:c r="I7" s="243" t="n">
        <x:v>85.6475</x:v>
      </x:c>
      <x:c r="J7" s="243" t="n">
        <x:v>135.1459</x:v>
      </x:c>
    </x:row>
    <x:row r="8" ht="60" customHeight="1">
      <x:c r="A8" s="223" t="n">
        <x:v>100</x:v>
      </x:c>
      <x:c r="B8" s="223" t="n">
        <x:v>1200</x:v>
      </x:c>
      <x:c r="C8" s="223" t="n">
        <x:v>0</x:v>
      </x:c>
      <x:c r="D8" s="243" t="n">
        <x:v>1.05641</x:v>
      </x:c>
      <x:c r="E8" s="243" t="n">
        <x:v>1135.9226058064576</x:v>
      </x:c>
      <x:c r="F8" s="243" t="n">
        <x:v>85.07828150000012</x:v>
      </x:c>
      <x:c r="G8" s="243" t="n">
        <x:v>78.3195</x:v>
      </x:c>
      <x:c r="H8" s="243" t="n">
        <x:v>152.293</x:v>
      </x:c>
      <x:c r="I8" s="243" t="n">
        <x:v>195.973</x:v>
      </x:c>
      <x:c r="J8" s="243" t="n">
        <x:v>304.0847</x:v>
      </x:c>
    </x:row>
    <x:row r="11">
      <x:c r="A11" t="str">
        <x:v>Scope</x:v>
      </x:c>
      <x:c r="B11" s="244" t="str">
        <x:v>1000 titles / 4000 copies; HTTP loopback Kestrel + PostgreSQL; macOS 15.3 Arm64; 10 logical processors. CPU model and RAM unavailable. 60 warmups; same-process generator; single short closed-loop run. Evidence: nfr-local.json.</x:v>
      </x:c>
      <x:c r="C11" s="244"/>
      <x:c r="D11" s="244"/>
      <x:c r="E11" s="244"/>
      <x:c r="F11" s="244"/>
      <x:c r="G11" s="244"/>
      <x:c r="H11" s="244"/>
      <x:c r="I11" s="244"/>
      <x:c r="J11" s="244"/>
    </x:row>
    <x:row r="12">
      <x:c r="B12" s="244"/>
      <x:c r="C12" s="244"/>
      <x:c r="D12" s="244"/>
      <x:c r="E12" s="244"/>
      <x:c r="F12" s="244"/>
      <x:c r="G12" s="244"/>
      <x:c r="H12" s="244"/>
      <x:c r="I12" s="244"/>
      <x:c r="J12" s="244"/>
    </x:row>
    <x:row r="13">
      <x:c r="B13" s="244"/>
      <x:c r="C13" s="244"/>
      <x:c r="D13" s="244"/>
      <x:c r="E13" s="244"/>
      <x:c r="F13" s="244"/>
      <x:c r="G13" s="244"/>
      <x:c r="H13" s="244"/>
      <x:c r="I13" s="244"/>
      <x:c r="J13" s="244"/>
    </x:row>
    <x:row r="15">
      <x:c r="A15" s="244" t="str">
        <x:v>Đề xuất: API p95 &lt;2000 ms and zero errors. All four local bursts meet this proposed check. SRS standard page load &lt;2s / 100 active users remain Not Tested end-to-end. AI &lt;3.5s, 99.9% availability, 180-day MTBF, 2h MTTR, 50k titles/200k copies and CPU/RAM &lt;70% were not measured. TLS/browser/real-provider delays are excluded.</x:v>
      </x:c>
      <x:c r="B15" s="244"/>
      <x:c r="C15" s="244"/>
      <x:c r="D15" s="244"/>
      <x:c r="E15" s="244"/>
      <x:c r="F15" s="244"/>
      <x:c r="G15" s="244"/>
      <x:c r="H15" s="244"/>
      <x:c r="I15" s="244"/>
      <x:c r="J15" s="244"/>
    </x:row>
    <x:row r="16">
      <x:c r="A16" s="244"/>
      <x:c r="B16" s="244"/>
      <x:c r="C16" s="244"/>
      <x:c r="D16" s="244"/>
      <x:c r="E16" s="244"/>
      <x:c r="F16" s="244"/>
      <x:c r="G16" s="244"/>
      <x:c r="H16" s="244"/>
      <x:c r="I16" s="244"/>
      <x:c r="J16" s="244"/>
    </x:row>
    <x:row r="17">
      <x:c r="A17" s="244"/>
      <x:c r="B17" s="244"/>
      <x:c r="C17" s="244"/>
      <x:c r="D17" s="244"/>
      <x:c r="E17" s="244"/>
      <x:c r="F17" s="244"/>
      <x:c r="G17" s="244"/>
      <x:c r="H17" s="244"/>
      <x:c r="I17" s="244"/>
      <x:c r="J17" s="244"/>
    </x:row>
    <x:row r="18">
      <x:c r="A18" s="244"/>
      <x:c r="B18" s="244"/>
      <x:c r="C18" s="244"/>
      <x:c r="D18" s="244"/>
      <x:c r="E18" s="244"/>
      <x:c r="F18" s="244"/>
      <x:c r="G18" s="244"/>
      <x:c r="H18" s="244"/>
      <x:c r="I18" s="244"/>
      <x:c r="J18" s="244"/>
    </x:row>
  </x:sheetData>
  <x:mergeCells>
    <x:mergeCell ref="B11:J13"/>
    <x:mergeCell ref="A15:J18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15" hidden="0" customWidth="1"/>
  </x:cols>
  <x:sheetData>
    <x:row r="2">
      <x:c r="A2" s="242" t="str">
        <x:v>ReadMe</x:v>
      </x:c>
    </x:row>
    <x:row r="4" ht="32" customHeight="1">
      <x:c r="A4" s="218" t="str">
        <x:v>Topic</x:v>
      </x:c>
      <x:c r="B4" s="218" t="str">
        <x:v>Meaning</x:v>
      </x:c>
    </x:row>
    <x:row r="5" ht="60" customHeight="1">
      <x:c r="A5" s="223" t="str">
        <x:v>Baseline</x:v>
      </x:c>
      <x:c r="B5" s="223" t="str">
        <x:v>e5beb8ecff1fb41234857bc4975e8303e80f2694; local test harness additions; no application changes.</x:v>
      </x:c>
    </x:row>
    <x:row r="6" ht="60" customHeight="1">
      <x:c r="A6" s="223" t="str">
        <x:v>Execution</x:v>
      </x:c>
      <x:c r="B6" s="223" t="str">
        <x:v>203 unit passes are in the separate unit workbook. Here: 17 API integration passes / 1 failure / 3 skipped; four local NFR summaries.</x:v>
      </x:c>
    </x:row>
    <x:row r="7" ht="60" customHeight="1">
      <x:c r="A7" s="223" t="str">
        <x:v>Verdicts</x:v>
      </x:c>
      <x:c r="B7" s="223" t="str">
        <x:v>Case Passed ≠ requirement fully verified. Not Tested includes skipped placeholders and planned tests. No browser E2E claimed.</x:v>
      </x:c>
    </x:row>
    <x:row r="8" ht="60" customHeight="1">
      <x:c r="A8" s="223" t="str">
        <x:v>External services</x:v>
      </x:c>
      <x:c r="B8" s="223" t="str">
        <x:v>PayOS gateway/signature, email, storage and identity authentication use test doubles. Not live-provider evidence.</x:v>
      </x:c>
    </x:row>
    <x:row r="9" ht="60" customHeight="1">
      <x:c r="A9" s="223" t="str">
        <x:v>IDs</x:v>
      </x:c>
      <x:c r="B9" s="223" t="str">
        <x:v>UC IDs come from Report 3. MF/ST/IT/UT/WF/NFR IDs are provisional. Đợi HuyLong điền — confirm official ID convention.</x:v>
      </x:c>
    </x:row>
    <x:row r="10" ht="60" customHeight="1">
      <x:c r="A10" s="223" t="str">
        <x:v>Metadata</x:v>
      </x:c>
      <x:c r="B10" s="223" t="str">
        <x:v>Đợi HuyLong điền — official project name/code, author/date/version, team and roles, Review 2/Defense/submission dates, official evidence location.</x:v>
      </x:c>
    </x:row>
    <x:row r="11" ht="60" customHeight="1">
      <x:c r="A11" s="223" t="str">
        <x:v>Evidence</x:v>
      </x:c>
      <x:c r="B11" s="223" t="str">
        <x:v>Relative evidence paths resolve from docs/report5, one directory above deliverables. Preserve TRX files and method names when moving files.</x:v>
      </x:c>
    </x:row>
    <x:row r="12" ht="60" customHeight="1">
      <x:c r="A12" s="223" t="str">
        <x:v>Scope conflicts</x:v>
      </x:c>
      <x:c r="B12" s="223" t="str">
        <x:v>UC29 import-ticket lifecycle is not established by copy intake. Reviews prerequisite, payment providers, realtime paths and security/NFR claims require SRS/code reconciliation.</x:v>
      </x:c>
    </x:row>
    <x:row r="13" ht="60" customHeight="1">
      <x:c r="A13" s="223" t="str">
        <x:v>Follow-up API run</x:v>
      </x:c>
      <x:c r="B13" s="223" t="str">
        <x:v>24 targeted tests: 22 Passed / 2 Failed. Partial ST-10-2 remains Not Tested. API/auth doubles are not browser E2E; reused workflow helpers are not independent feature coverage.</x:v>
      </x:c>
    </x:row>
    <x:row r="14" ht="60" customHeight="1">
      <x:c r="A14" s="223" t="str">
        <x:v>Sign-off</x:v>
      </x:c>
      <x:c r="B14" s="223" t="str">
        <x:v>No release acceptance: two open proposed-High defects; unexecuted browser/provider/NFR coverage. Signed BM04 commitment not supplied.</x:v>
      </x:c>
    </x:row>
  </x:sheetData>
  <x:pageMargins left="0.7" right="0.7" top="0.75" bottom="0.75" header="0.3" footer="0.3"/>
</x:worksheet>
</file>